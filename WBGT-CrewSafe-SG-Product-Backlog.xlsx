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https://nusu.sharepoint.com/sites/GdipSAGroup4/Shared Documents/General/AD/"/>
    </mc:Choice>
  </mc:AlternateContent>
  <xr:revisionPtr revIDLastSave="1266" documentId="11_B41AAF8A353D7814B1A45D04E04E76FA5B7FAAAB" xr6:coauthVersionLast="47" xr6:coauthVersionMax="47" xr10:uidLastSave="{0CFA53C2-D409-C843-858F-5500BC40EF41}"/>
  <bookViews>
    <workbookView xWindow="0" yWindow="660" windowWidth="33600" windowHeight="21680" activeTab="2" xr2:uid="{00000000-000D-0000-FFFF-FFFF00000000}"/>
  </bookViews>
  <sheets>
    <sheet name="Product Backlog" sheetId="1" r:id="rId1"/>
    <sheet name="Features" sheetId="2" r:id="rId2"/>
    <sheet name="Business Process" sheetId="3" r:id="rId3"/>
    <sheet name="Technologies" sheetId="4" r:id="rId4"/>
    <sheet name="Project Statu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D3" i="2" a="1"/>
  <c r="D3" i="2" s="1"/>
  <c r="D4" i="2" a="1"/>
  <c r="D4" i="2" s="1"/>
  <c r="D5" i="2" a="1"/>
  <c r="D5" i="2"/>
  <c r="D6" i="2" a="1"/>
  <c r="D6" i="2"/>
  <c r="D7" i="2" a="1"/>
  <c r="D7" i="2"/>
  <c r="D8" i="2" a="1"/>
  <c r="D8" i="2" s="1"/>
  <c r="D9" i="2" a="1"/>
  <c r="D9" i="2" s="1"/>
  <c r="D10" i="2" a="1"/>
  <c r="D10" i="2" s="1"/>
  <c r="D11" i="2" a="1"/>
  <c r="D11" i="2" s="1"/>
  <c r="D12" i="2" a="1"/>
  <c r="D12" i="2"/>
  <c r="D13" i="2" a="1"/>
  <c r="D13" i="2"/>
  <c r="D14" i="2" a="1"/>
  <c r="D14" i="2"/>
  <c r="D15" i="2" a="1"/>
  <c r="D15" i="2"/>
  <c r="D16" i="2" a="1"/>
  <c r="D16" i="2" s="1"/>
  <c r="D17" i="2" a="1"/>
  <c r="D17" i="2" s="1"/>
  <c r="D18" i="2" a="1"/>
  <c r="D18" i="2" s="1"/>
  <c r="D19" i="2" a="1"/>
  <c r="D19" i="2"/>
  <c r="D20" i="2" a="1"/>
  <c r="D20" i="2" s="1"/>
  <c r="D21" i="2" a="1"/>
  <c r="D21" i="2" s="1"/>
  <c r="D22" i="2" a="1"/>
  <c r="D22" i="2"/>
  <c r="D23" i="2" a="1"/>
  <c r="D23" i="2" s="1"/>
  <c r="D24" i="2" a="1"/>
  <c r="D24" i="2" s="1"/>
  <c r="D25" i="2" a="1"/>
  <c r="D25" i="2" s="1"/>
  <c r="D26" i="2" a="1"/>
  <c r="D26" i="2"/>
  <c r="D27" i="2" a="1"/>
  <c r="D27" i="2" s="1"/>
  <c r="D28" i="2" a="1"/>
  <c r="D28" i="2"/>
  <c r="D29" i="2" a="1"/>
  <c r="D29" i="2"/>
  <c r="D30" i="2" a="1"/>
  <c r="D30" i="2" s="1"/>
  <c r="D31" i="2" a="1"/>
  <c r="D31" i="2" s="1"/>
  <c r="D32" i="2" a="1"/>
  <c r="D32" i="2" s="1"/>
  <c r="D33" i="2" a="1"/>
  <c r="D33" i="2" s="1"/>
  <c r="D34" i="2" a="1"/>
  <c r="D34" i="2" s="1"/>
  <c r="D35" i="2" a="1"/>
  <c r="D35" i="2" s="1"/>
  <c r="D36" i="2" a="1"/>
  <c r="D36" i="2" s="1"/>
  <c r="D37" i="2" a="1"/>
  <c r="D3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<sst xmlns="http://schemas.openxmlformats.org/spreadsheetml/2006/main" count="450" uniqueCount="326">
  <si>
    <t>WBGT CrewSafe SG  —  Prioritised Product Backlog</t>
  </si>
  <si>
    <t>ID</t>
  </si>
  <si>
    <t>Feature ID</t>
  </si>
  <si>
    <t>Priority (MoSCoW)</t>
  </si>
  <si>
    <t>Feature / User Story</t>
  </si>
  <si>
    <t>Story Points</t>
  </si>
  <si>
    <t>Implementation Technologies</t>
  </si>
  <si>
    <t>Acceptance Summary</t>
  </si>
  <si>
    <t>Sprint</t>
  </si>
  <si>
    <t>US-01</t>
  </si>
  <si>
    <t>F-01</t>
  </si>
  <si>
    <t>Must</t>
  </si>
  <si>
    <t>Authenticate and see only my assigned site</t>
  </si>
  <si>
    <t>RBAC and negative authorization tests pass</t>
  </si>
  <si>
    <t>1</t>
  </si>
  <si>
    <t>US-02</t>
  </si>
  <si>
    <t>F-02</t>
  </si>
  <si>
    <t>Create a shift with workers, tasks and intensity</t>
  </si>
  <si>
    <t>Shift validation and assignments persist</t>
  </si>
  <si>
    <t>US-03</t>
  </si>
  <si>
    <t>F-03</t>
  </si>
  <si>
    <t>Worker views shift and submits readiness flags</t>
  </si>
  <si>
    <t>Only assigned worker can submit; no medical free text</t>
  </si>
  <si>
    <t>US-04</t>
  </si>
  <si>
    <t>F-04</t>
  </si>
  <si>
    <t>Ingest and store WBGT / weather with freshness</t>
  </si>
  <si>
    <t>Live and fixture modes work; duplicate ingestion safe</t>
  </si>
  <si>
    <t>US-04L</t>
  </si>
  <si>
    <t>F-05</t>
  </si>
  <si>
    <t>Lightning stop-work warning shown above WBGT</t>
  </si>
  <si>
    <t>Risk state clear/advisory/stop-work; warning atop WBGT; overrides heat plan</t>
  </si>
  <si>
    <t>US-05</t>
  </si>
  <si>
    <t>F-06</t>
  </si>
  <si>
    <t>Supervisor sees current conditions and active shift context</t>
  </si>
  <si>
    <t>Web view uses shared backend and shows freshness</t>
  </si>
  <si>
    <t>US-06</t>
  </si>
  <si>
    <t>F-07</t>
  </si>
  <si>
    <t>System forecasts 30 / 60-minute WBGT</t>
  </si>
  <si>
    <t>Baselines measured; versioned prediction returned</t>
  </si>
  <si>
    <t>2</t>
  </si>
  <si>
    <t>US-07</t>
  </si>
  <si>
    <t>F-08</t>
  </si>
  <si>
    <t>Evaluate the correct deterministic policy actions</t>
  </si>
  <si>
    <t>Boundary and mixed-worker tests pass</t>
  </si>
  <si>
    <t>US-08</t>
  </si>
  <si>
    <t>F-09</t>
  </si>
  <si>
    <t>Supervisor receives an explainable agent draft plan</t>
  </si>
  <si>
    <t>No unsupported actions; policy / model references shown</t>
  </si>
  <si>
    <t>US-09</t>
  </si>
  <si>
    <t>F-10</t>
  </si>
  <si>
    <t>Supervisor approves, edits or rejects a plan</t>
  </si>
  <si>
    <t>Draft and final versions retained; authorization enforced</t>
  </si>
  <si>
    <t>US-10</t>
  </si>
  <si>
    <t>F-11</t>
  </si>
  <si>
    <t>Worker receives and acknowledges an approved action</t>
  </si>
  <si>
    <t>Only affected workers see it; idempotency works</t>
  </si>
  <si>
    <t>US-11</t>
  </si>
  <si>
    <t>F-12</t>
  </si>
  <si>
    <t>Worker logs rest / hydration or raises a concern</t>
  </si>
  <si>
    <t>Status updates in supervisor view</t>
  </si>
  <si>
    <t>US-12</t>
  </si>
  <si>
    <t>F-13</t>
  </si>
  <si>
    <t>Supervisor monitors pending, late and completed actions</t>
  </si>
  <si>
    <t>Live state and alert count match backend records</t>
  </si>
  <si>
    <t>US-13</t>
  </si>
  <si>
    <t>F-14</t>
  </si>
  <si>
    <t>Manager views compliance and response-time charts</t>
  </si>
  <si>
    <t>Metrics verified against seeded expected values</t>
  </si>
  <si>
    <t>3</t>
  </si>
  <si>
    <t>US-14</t>
  </si>
  <si>
    <t>F-15</t>
  </si>
  <si>
    <t>Manager views forecast accuracy and fallback status</t>
  </si>
  <si>
    <t>Metrics match evaluation artifact</t>
  </si>
  <si>
    <t>US-15</t>
  </si>
  <si>
    <t>F-16</t>
  </si>
  <si>
    <t>Manager exports the audit timeline</t>
  </si>
  <si>
    <t>Export contains trace IDs, actors, rules and decisions</t>
  </si>
  <si>
    <t>US-16</t>
  </si>
  <si>
    <t>F-17</t>
  </si>
  <si>
    <t>Safe degraded behaviour during dependency failure</t>
  </si>
  <si>
    <t>NEA, ML and LLM failure scenarios pass</t>
  </si>
  <si>
    <t>US-17</t>
  </si>
  <si>
    <t>Should</t>
  </si>
  <si>
    <t>In-app reminder for an unacknowledged approved action</t>
  </si>
  <si>
    <t>Reminder cannot alter instruction</t>
  </si>
  <si>
    <t>US-18</t>
  </si>
  <si>
    <t>F-18</t>
  </si>
  <si>
    <t>Could</t>
  </si>
  <si>
    <t>Worker views an approved instruction in another language</t>
  </si>
  <si>
    <t>Human-approved template only</t>
  </si>
  <si>
    <t>Stretch</t>
  </si>
  <si>
    <t>Features  —  Proposed Features &amp; Implementation Technologies</t>
  </si>
  <si>
    <t>Feature (use case / user story)</t>
  </si>
  <si>
    <t>Additional Details (Implementation Technologies)</t>
  </si>
  <si>
    <t>Backlog Stories</t>
  </si>
  <si>
    <t>Authenticate &amp; site-scoped access</t>
  </si>
  <si>
    <t>Amazon Cognito + JWT, Spring Security resource server, Web (React, TS), Mobile (React Native)</t>
  </si>
  <si>
    <t>Configure shift, tasks &amp; assignments</t>
  </si>
  <si>
    <t>Web (React, MUI), Backend (Spring Boot, Spring Data JPA, PostgreSQL)</t>
  </si>
  <si>
    <t>Complete worker readiness check</t>
  </si>
  <si>
    <t>Mobile (React Native, Expo), Backend (Spring Boot, PostgreSQL)</t>
  </si>
  <si>
    <t>Ingest WBGT &amp; weather with freshness</t>
  </si>
  <si>
    <t>Backend (Spring Boot scheduler), NEA data.gov.sg APIs, PostgreSQL</t>
  </si>
  <si>
    <t>Lightning warning above WBGT (stop-work)</t>
  </si>
  <si>
    <t>Backend (Spring Boot), NEA lightning observation API, React + React Native</t>
  </si>
  <si>
    <t>View current &amp; forecast risk (live conditions)</t>
  </si>
  <si>
    <t>Web (React, Chart.js), Server-Sent Events, Backend (Spring Boot)</t>
  </si>
  <si>
    <t>Forecast 30 / 60-minute WBGT</t>
  </si>
  <si>
    <t>Evaluate deterministic heat policy</t>
  </si>
  <si>
    <t>Backend (Java 21 rules engine, PostgreSQL policy config)</t>
  </si>
  <si>
    <t>Generate explainable agent draft plan</t>
  </si>
  <si>
    <t>Approve / edit / reject plan</t>
  </si>
  <si>
    <t>Web (React), Backend (Spring Boot)</t>
  </si>
  <si>
    <t>Dispatch &amp; acknowledge worker action</t>
  </si>
  <si>
    <t>Mobile (React Native), Backend (idempotency, PostgreSQL)</t>
  </si>
  <si>
    <t>Log rest / hydration &amp; raise safety concern</t>
  </si>
  <si>
    <t>Mobile (React Native), Backend (Spring Boot)</t>
  </si>
  <si>
    <t>Monitor completion (live status board)</t>
  </si>
  <si>
    <t>Compliance &amp; response-time dashboard</t>
  </si>
  <si>
    <t>Web (React, Chart.js), Backend aggregation</t>
  </si>
  <si>
    <t>Model-performance dashboard</t>
  </si>
  <si>
    <t>Web (Chart.js), Python ML metrics (time-based validation), Backend</t>
  </si>
  <si>
    <t>Export audit timeline (CSV / PDF)</t>
  </si>
  <si>
    <t>Backend (export service), Web, PostgreSQL append-only audit</t>
  </si>
  <si>
    <t>Graceful degraded mode</t>
  </si>
  <si>
    <t>Backend fallback adapters (NEA / ML / LLM)</t>
  </si>
  <si>
    <t>[Stretch] Multilingual instruction template</t>
  </si>
  <si>
    <t>F-19</t>
  </si>
  <si>
    <t>[Cross-cutting] Cloud deployment</t>
  </si>
  <si>
    <t>F-20</t>
  </si>
  <si>
    <t>[Cross-cutting] DevSecOps pipeline</t>
  </si>
  <si>
    <t>F-21</t>
  </si>
  <si>
    <t>[Cross-cutting] AI observability</t>
  </si>
  <si>
    <t>Business Process  —  Heat-Safety Operations Workflow</t>
  </si>
  <si>
    <t>Actor</t>
  </si>
  <si>
    <t>Features</t>
  </si>
  <si>
    <t>Core observe → decide → approve → dispatch → acknowledge → audit loop</t>
  </si>
  <si>
    <t>NEA Weather Service</t>
  </si>
  <si>
    <t>Ingest WBGT, weather &amp; lightning (system-triggered)</t>
  </si>
  <si>
    <t>System (Lightning)</t>
  </si>
  <si>
    <t>Classify lightning risk; raise stop-work warning above WBGT</t>
  </si>
  <si>
    <t>System (ML)</t>
  </si>
  <si>
    <t>System (Policy)</t>
  </si>
  <si>
    <t>System (Agent)</t>
  </si>
  <si>
    <t>Draft explainable intervention plan</t>
  </si>
  <si>
    <t>Site Supervisor</t>
  </si>
  <si>
    <t>Review &amp; approve / edit / reject plan</t>
  </si>
  <si>
    <t>Configure shift &amp; tasks</t>
  </si>
  <si>
    <t>Monitor current &amp; forecast risk</t>
  </si>
  <si>
    <t>Monitor completion &amp; send approved reminder</t>
  </si>
  <si>
    <t>Outdoor Worker</t>
  </si>
  <si>
    <t>Receive lightning stop-work alert &amp; seek shelter</t>
  </si>
  <si>
    <t>Complete readiness check</t>
  </si>
  <si>
    <t>Receive &amp; acknowledge action</t>
  </si>
  <si>
    <t>Log rest / hydration</t>
  </si>
  <si>
    <t>Raise safety concern</t>
  </si>
  <si>
    <t>Oversight &amp; governance</t>
  </si>
  <si>
    <t>Safety Manager</t>
  </si>
  <si>
    <t>View dashboards &amp; audit / export timeline</t>
  </si>
  <si>
    <t>Architecture-Centric Features  —  Technology Stack</t>
  </si>
  <si>
    <t>Layer</t>
  </si>
  <si>
    <t>Technology</t>
  </si>
  <si>
    <t>Purpose in WBGT CrewSafe SG</t>
  </si>
  <si>
    <t>Web app</t>
  </si>
  <si>
    <t>React, TypeScript, Vite, Material UI, Chart.js</t>
  </si>
  <si>
    <t>Supervisor / manager / admin console, dashboards, approval workflow</t>
  </si>
  <si>
    <t>Mobile app</t>
  </si>
  <si>
    <t>React Native, Expo, TypeScript</t>
  </si>
  <si>
    <t>Worker readiness, instructions, acknowledgement, rest / hydration logs</t>
  </si>
  <si>
    <t>Identity</t>
  </si>
  <si>
    <t>Amazon Cognito, JWT, Spring Security resource server</t>
  </si>
  <si>
    <t>Sign-in, role claims and site-scoped access for web and mobile</t>
  </si>
  <si>
    <t>Shared backend</t>
  </si>
  <si>
    <t>Java 21, Spring Boot, Spring Security, Spring Data JPA</t>
  </si>
  <si>
    <t>System of record, RBAC, policy engine host, audit</t>
  </si>
  <si>
    <t>Machine learning</t>
  </si>
  <si>
    <t>Agentic AI</t>
  </si>
  <si>
    <t>AI observability</t>
  </si>
  <si>
    <t>LangSmith</t>
  </si>
  <si>
    <t>Database</t>
  </si>
  <si>
    <t>PostgreSQL, migration-managed schema, protected append-only audit events</t>
  </si>
  <si>
    <t>Users, sites, shifts, observations, recommendations, append-only audit</t>
  </si>
  <si>
    <t>Realtime</t>
  </si>
  <si>
    <t>Server-Sent Events (supervisor), refresh / polling on mobile</t>
  </si>
  <si>
    <t>Live condition, plan and acknowledgement updates</t>
  </si>
  <si>
    <t>API contract</t>
  </si>
  <si>
    <t>OpenAPI 3, REST /api/v1, generated TypeScript clients</t>
  </si>
  <si>
    <t>Contract between clients and shared backend</t>
  </si>
  <si>
    <t>Cloud</t>
  </si>
  <si>
    <t>Infrastructure as code</t>
  </si>
  <si>
    <t>Terraform with the HashiCorp AWS Provider</t>
  </si>
  <si>
    <t>Reproducible AWS provisioning through CI/CD</t>
  </si>
  <si>
    <t>Observability</t>
  </si>
  <si>
    <t>Structured JSON logs, correlation IDs, health checks, Amazon CloudWatch</t>
  </si>
  <si>
    <t>Health checks, traceability, integration-failure metrics</t>
  </si>
  <si>
    <t>DevSecOps</t>
  </si>
  <si>
    <t>Project Status Report  (C = Completed · I = In Progress · blank = Not started)</t>
  </si>
  <si>
    <t>Feature</t>
  </si>
  <si>
    <t>Requirements</t>
  </si>
  <si>
    <t>Development</t>
  </si>
  <si>
    <t>Integration Testing</t>
  </si>
  <si>
    <t>Deployed to Cloud</t>
  </si>
  <si>
    <t>Python, pandas, scikit-learn; persistence and Ridge baselines; HistGradientBoostingRegressor primary; optional XGBoost challenger</t>
  </si>
  <si>
    <t>Train and run direct 30- and 60-minute WBGT forecasts using time-based validation</t>
  </si>
  <si>
    <t>Python, FastAPI, LangChain, LangGraph, Amazon Bedrock, tool calling, Pydantic schemas</t>
  </si>
  <si>
    <t>Use an approved foundation model to invoke guarded tools and produce validated draft plans</t>
  </si>
  <si>
    <t>Trace agent runs, evaluate plan quality and monitor tool calls; not the authoritative audit record</t>
  </si>
  <si>
    <t>AWS CloudFront/S3, ECS Fargate, ALB, ECR, RDS, Cognito, Bedrock, EventBridge Scheduler, Secrets Manager</t>
  </si>
  <si>
    <t>Host web, containers, database, identity, model inference, scheduled forecasts and secrets</t>
  </si>
  <si>
    <t>CI/CD, automated tests and application, dependency, secret, infrastructure and container scanning</t>
  </si>
  <si>
    <t>Build, test, scan, publish and deploy approved releases</t>
  </si>
  <si>
    <t>Python ML (pandas, scikit-learn; HistGradientBoostingRegressor primary, Ridge / persistence baselines, XGBoost optional challenger; time-based validation)</t>
  </si>
  <si>
    <t>Agentic AI (Python, FastAPI, LangChain / LangGraph, Amazon Bedrock, tool calling, Pydantic schemas)</t>
  </si>
  <si>
    <t>Agentic AI (human-approved template via LangChain on Amazon Bedrock), Mobile</t>
  </si>
  <si>
    <t>Terraform with the HashiCorp AWS Provider: CloudFront/S3, ECS Fargate, ALB, ECR, RDS, Cognito, Bedrock, EventBridge Scheduler, Secrets Manager</t>
  </si>
  <si>
    <t>CI/CD pipeline: automated tests and application, dependency, secret, infrastructure and container scanning; build, test, scan, publish and deploy approved releases</t>
  </si>
  <si>
    <t>LangSmith (agent run tracing, plan-quality evaluation, tool-call monitoring, prompt testing; not the authoritative audit record)</t>
  </si>
  <si>
    <t>F-22</t>
  </si>
  <si>
    <t>Configure &amp; version heat policy</t>
  </si>
  <si>
    <t>Web (React), Backend (Java 21, Spring Boot, Spring Data JPA), PostgreSQL policy_version tables</t>
  </si>
  <si>
    <t>F-23</t>
  </si>
  <si>
    <t>Agent guardrail verification (STPA, allowlist, approval gate)</t>
  </si>
  <si>
    <t>Agentic AI (LangGraph guardrails, Pydantic schemas), Backend validation (Java 21), automated test harness</t>
  </si>
  <si>
    <t>F-24</t>
  </si>
  <si>
    <t>Readiness-check freshness &amp; missing-check indicators</t>
  </si>
  <si>
    <t>Mobile (React Native) + Web (React), Backend (Spring Boot), PostgreSQL</t>
  </si>
  <si>
    <t>F-25</t>
  </si>
  <si>
    <t>ML model card (SHAP explainability &amp; reliability)</t>
  </si>
  <si>
    <t>Python ML (scikit-learn, SHAP), model-card documentation, time-based validation metrics</t>
  </si>
  <si>
    <t>F-26</t>
  </si>
  <si>
    <t>Structured JSON logs, correlation IDs, health checks (Spring Boot Actuator), Amazon CloudWatch</t>
  </si>
  <si>
    <t>F-27</t>
  </si>
  <si>
    <t>OWASP-style tests (authz, injection, XSS, prompt injection, audit tamper); CI/CD dependency, secret, infrastructure and container scanning</t>
  </si>
  <si>
    <t>F-28</t>
  </si>
  <si>
    <t>Web (React) + Mobile (React Native), axe / Lighthouse, load testing (WCAG 2.1 AA basics; p95 latency)</t>
  </si>
  <si>
    <t>F-29</t>
  </si>
  <si>
    <t>Admin: users, roles, sites &amp; integrations</t>
  </si>
  <si>
    <t>Web (React), Amazon Cognito, Spring Security, Backend (Spring Boot), PostgreSQL</t>
  </si>
  <si>
    <t>F-30</t>
  </si>
  <si>
    <t>[Inception] Prioritised backlog, use-case diagram &amp; UI prototype</t>
  </si>
  <si>
    <t>Design and documentation tooling (Figma / AI design tools); no runtime technology</t>
  </si>
  <si>
    <t>F-31</t>
  </si>
  <si>
    <t>[Spike] NEA feed feasibility &amp; cached demo fixtures</t>
  </si>
  <si>
    <t>Backend (Spring Boot), NEA data.gov.sg WBGT / lightning APIs, cached JSON fixtures</t>
  </si>
  <si>
    <t>F-32</t>
  </si>
  <si>
    <t>[Stretch] QR rest-zone check-in</t>
  </si>
  <si>
    <t>Mobile (React Native, Expo Camera), Backend (Spring Boot), PostgreSQL append-only audit</t>
  </si>
  <si>
    <t>F-33</t>
  </si>
  <si>
    <t>[Stretch] Multi-site management view</t>
  </si>
  <si>
    <t>Web (React, Chart.js), Backend (Spring Boot), site-scoped RBAC</t>
  </si>
  <si>
    <t>F-34</t>
  </si>
  <si>
    <t>[Stretch] Supervisor-entered local WBGT reading</t>
  </si>
  <si>
    <t>Web (React) + Mobile (React Native), Backend (Spring Boot), PostgreSQL with source &amp; timestamp</t>
  </si>
  <si>
    <t>F-35</t>
  </si>
  <si>
    <t>[Stretch] Push notifications</t>
  </si>
  <si>
    <t>Mobile (React Native, Expo + Firebase Cloud Messaging), Backend (Spring Boot)</t>
  </si>
  <si>
    <t>US-19</t>
  </si>
  <si>
    <t>US-20</t>
  </si>
  <si>
    <t>US-21</t>
  </si>
  <si>
    <t>US-22</t>
  </si>
  <si>
    <t>US-23</t>
  </si>
  <si>
    <t>US-24</t>
  </si>
  <si>
    <t>US-27</t>
  </si>
  <si>
    <t>US-25</t>
  </si>
  <si>
    <t>US-26</t>
  </si>
  <si>
    <t>US-28</t>
  </si>
  <si>
    <t>US-29</t>
  </si>
  <si>
    <t>US-30</t>
  </si>
  <si>
    <t>US-31</t>
  </si>
  <si>
    <t>US-32</t>
  </si>
  <si>
    <t>US-33</t>
  </si>
  <si>
    <t>US-34</t>
  </si>
  <si>
    <t>US-35</t>
  </si>
  <si>
    <t>Prepare prioritised backlog, high-level use-case diagram and UI prototype screens</t>
  </si>
  <si>
    <t>Spike: confirm NEA WBGT / lightning feasibility and cache demo fixtures</t>
  </si>
  <si>
    <t>Provision cloud staging infrastructure and secrets management</t>
  </si>
  <si>
    <t>Establish CI pipeline skeleton (build, unit tests, SAST, secret scan)</t>
  </si>
  <si>
    <t>Baseline observability: health checks, correlation IDs, structured logs</t>
  </si>
  <si>
    <t>Safety manager configures and versions the active heat policy</t>
  </si>
  <si>
    <t>Complete DevSecOps pipeline (dependency + container scan, auto staging deploy, smoke tests)</t>
  </si>
  <si>
    <t>Show readiness-check freshness and missing checks</t>
  </si>
  <si>
    <t>STPA-derived agent guardrail verification (allowlist + approval gate)</t>
  </si>
  <si>
    <t>Security testing suite and remediation evidence</t>
  </si>
  <si>
    <t>ML model card with SHAP explainability and forecast reliability</t>
  </si>
  <si>
    <t>Admin manages users, roles, sites and integrations</t>
  </si>
  <si>
    <t>Accessibility and performance checks (WCAG 2.1 AA basics; p95 latency)</t>
  </si>
  <si>
    <t>QR check-in at a simulated rest zone</t>
  </si>
  <si>
    <t>Multi-site management view</t>
  </si>
  <si>
    <t>Supervisor-entered local WBGT reading with source &amp; timestamp</t>
  </si>
  <si>
    <t>Push notifications via Firebase Cloud Messaging</t>
  </si>
  <si>
    <t>Backlog, use-case diagram and navigable mockups accepted by advisor</t>
  </si>
  <si>
    <t>Live pull demonstrated; dated fixtures cached for offline demo</t>
  </si>
  <si>
    <t>Web + mobile reach one deployed backend; no secrets in source</t>
  </si>
  <si>
    <t>PR triggers build, tests and scans; main branch protected</t>
  </si>
  <si>
    <t>Health endpoints live; correlation IDs traced end-to-end</t>
  </si>
  <si>
    <t>Versioned catalogue with source &amp; effective date; recommendations cite version</t>
  </si>
  <si>
    <t>Pipeline scans, deploys staging and runs smoke tests</t>
  </si>
  <si>
    <t>Stale or missing readiness flagged to supervisor</t>
  </si>
  <si>
    <t>Unsupported-action rate zero; approval-gate bypass blocked and audited</t>
  </si>
  <si>
    <t>Findings, severity, remediation and re-test documented; no unresolved high/critical</t>
  </si>
  <si>
    <t>Card includes SHAP drivers, calibration and per-band error</t>
  </si>
  <si>
    <t>Admin CRUD with RBAC; every change audited</t>
  </si>
  <si>
    <t>WCAG AA basics met; read p95 &lt;1s, write p95 &lt;2s</t>
  </si>
  <si>
    <t>Scan logs rest at zone; event audited</t>
  </si>
  <si>
    <t>Manager switches and compares multiple sites</t>
  </si>
  <si>
    <t>Manual reading stored with source/time; no station-equivalence claim</t>
  </si>
  <si>
    <t>Approved action pushes to worker device</t>
  </si>
  <si>
    <t>0</t>
  </si>
  <si>
    <t>[Cross-cutting] Observability &amp; health monitoring</t>
  </si>
  <si>
    <t>[Cross-cutting] Security testing &amp; remediation evidence</t>
  </si>
  <si>
    <t>[Cross-cutting] Accessibility &amp; performance</t>
  </si>
  <si>
    <t>US-36</t>
  </si>
  <si>
    <t>Trace and evaluate agent runs in AI observability tooling</t>
  </si>
  <si>
    <t>Every agent run traced with tool calls and plan-quality score; traces linked to audit trace ID</t>
  </si>
  <si>
    <t>Review readiness freshness &amp; missing checks</t>
  </si>
  <si>
    <t>Enter a local WBGT reading with source &amp; timestamp  [Stretch]</t>
  </si>
  <si>
    <t>Receive a push notification for an approved action  [Stretch]</t>
  </si>
  <si>
    <t>Check in at a rest zone by QR scan  [Stretch]</t>
  </si>
  <si>
    <t>View an approved instruction in another language  [Stretch]</t>
  </si>
  <si>
    <t>Configure &amp; version the active heat policy (source &amp; effective date)</t>
  </si>
  <si>
    <t>Review agent guardrail &amp; security-testing evidence</t>
  </si>
  <si>
    <t>Review ML model card &amp; forecast reliability</t>
  </si>
  <si>
    <t>Site Manager</t>
  </si>
  <si>
    <t>Compare performance across multiple sites  [Stretch]</t>
  </si>
  <si>
    <t>Administrator</t>
  </si>
  <si>
    <t>Manage users, roles, sites &amp; integrations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</si>
</sst>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rgb="FF212121"/>
      <name val="Calibri"/>
      <family val="2"/>
    </font>
    <font>
      <sz val="10"/>
      <color rgb="FF212121"/>
      <name val="Calibri"/>
      <family val="2"/>
    </font>
    <font>
      <b/>
      <sz val="10"/>
      <color rgb="FF3F8F5B"/>
      <name val="Calibri"/>
      <family val="2"/>
    </font>
    <font>
      <b/>
      <sz val="10"/>
      <color rgb="FFE8873A"/>
      <name val="Calibri"/>
      <family val="2"/>
    </font>
    <font>
      <b/>
      <sz val="10"/>
      <color rgb="FF6B7A88"/>
      <name val="Calibri"/>
      <family val="2"/>
    </font>
    <font>
      <b/>
      <sz val="10"/>
      <color rgb="FF1F3B57"/>
      <name val="Calibri"/>
      <family val="2"/>
    </font>
    <font>
      <b/>
      <sz val="14"/>
      <color rgb="FFFFFFFF"/>
      <name val="Calibri"/>
      <family val="2"/>
      <scheme val="minor"/>
    </font>
    <font>
      <sz val="10"/>
      <color rgb="FF212121"/>
      <name val="Calibri"/>
      <family val="2"/>
      <scheme val="minor"/>
    </font>
    <font>
      <b/>
      <sz val="10"/>
      <color rgb="FF21212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B57"/>
      </patternFill>
    </fill>
    <fill>
      <patternFill patternType="solid">
        <fgColor rgb="FF2E6FB0"/>
      </patternFill>
    </fill>
    <fill>
      <patternFill patternType="solid">
        <fgColor rgb="FFFFFFFF"/>
      </patternFill>
    </fill>
    <fill>
      <patternFill patternType="solid">
        <fgColor rgb="FFF5F8FC"/>
      </patternFill>
    </fill>
    <fill>
      <patternFill patternType="solid">
        <fgColor rgb="FFEAF1F8"/>
      </patternFill>
    </fill>
    <fill>
      <patternFill patternType="solid">
        <fgColor rgb="FF2E6FB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8FC"/>
        <bgColor indexed="64"/>
      </patternFill>
    </fill>
    <fill>
      <patternFill patternType="solid">
        <fgColor rgb="FF1F3B57"/>
        <bgColor indexed="64"/>
      </patternFill>
    </fill>
  </fills>
  <borders count="9">
    <border>
      <left/>
      <right/>
      <top/>
      <bottom/>
      <diagonal/>
    </border>
    <border>
      <left style="thin">
        <color rgb="FFC9D4DF"/>
      </left>
      <right style="thin">
        <color rgb="FFC9D4DF"/>
      </right>
      <top style="thin">
        <color rgb="FFC9D4DF"/>
      </top>
      <bottom style="thin">
        <color rgb="FFC9D4DF"/>
      </bottom>
      <diagonal/>
    </border>
    <border>
      <left/>
      <right style="thin">
        <color rgb="FFC9D4DF"/>
      </right>
      <top style="thin">
        <color rgb="FFC9D4DF"/>
      </top>
      <bottom style="thin">
        <color rgb="FFC9D4DF"/>
      </bottom>
      <diagonal/>
    </border>
    <border>
      <left/>
      <right style="thin">
        <color rgb="FFC9D4DF"/>
      </right>
      <top/>
      <bottom style="thin">
        <color rgb="FFC9D4DF"/>
      </bottom>
      <diagonal/>
    </border>
    <border>
      <left style="thin">
        <color rgb="FFC9D4DF"/>
      </left>
      <right style="thin">
        <color rgb="FFC9D4DF"/>
      </right>
      <top/>
      <bottom style="thin">
        <color rgb="FFC9D4DF"/>
      </bottom>
      <diagonal/>
    </border>
    <border>
      <left/>
      <right/>
      <top/>
      <bottom style="thin">
        <color rgb="FFC9D4DF"/>
      </bottom>
      <diagonal/>
    </border>
    <border>
      <left style="thin">
        <color rgb="FFC9D4DF"/>
      </left>
      <right/>
      <top style="thin">
        <color rgb="FFC9D4DF"/>
      </top>
      <bottom style="thin">
        <color rgb="FFC9D4DF"/>
      </bottom>
      <diagonal/>
    </border>
    <border>
      <left style="thin">
        <color rgb="FFC9D4DF"/>
      </left>
      <right/>
      <top/>
      <bottom style="thin">
        <color rgb="FFC9D4DF"/>
      </bottom>
      <diagonal/>
    </border>
    <border>
      <left style="thin">
        <color rgb="FFC9D4DF"/>
      </left>
      <right style="thin">
        <color rgb="FFC9D4DF"/>
      </right>
      <top style="thin">
        <color rgb="FFC9D4DF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/>
    </xf>
    <xf numFmtId="0" fontId="4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49" fontId="4" fillId="8" borderId="1" xfId="0" applyNumberFormat="1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49" fontId="4" fillId="9" borderId="1" xfId="0" applyNumberFormat="1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/>
    </xf>
    <xf numFmtId="0" fontId="10" fillId="9" borderId="1" xfId="0" applyFont="1" applyFill="1" applyBorder="1" applyAlignment="1">
      <alignment horizontal="left"/>
    </xf>
    <xf numFmtId="0" fontId="11" fillId="8" borderId="1" xfId="0" applyFont="1" applyFill="1" applyBorder="1" applyAlignment="1">
      <alignment horizontal="left"/>
    </xf>
    <xf numFmtId="0" fontId="10" fillId="8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 vertical="center" wrapText="1"/>
    </xf>
    <xf numFmtId="0" fontId="0" fillId="0" borderId="1" xfId="0" applyBorder="1"/>
    <xf numFmtId="0" fontId="8" fillId="6" borderId="8" xfId="0" applyFont="1" applyFill="1" applyBorder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10" borderId="5" xfId="0" applyFont="1" applyFill="1" applyBorder="1" applyAlignment="1">
      <alignment horizontal="left" vertical="center"/>
    </xf>
    <xf numFmtId="0" fontId="9" fillId="1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6BB5423-1ABB-7B47-900C-1F8AB409F63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755ca02-2d3f-4ae1-80c8-0cc78d3288e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zoomScale="120" zoomScaleNormal="120" workbookViewId="0">
      <pane ySplit="2" topLeftCell="A21" activePane="bottomLeft" state="frozen"/>
      <selection pane="bottomLeft" activeCell="A23" sqref="A23:H23"/>
    </sheetView>
  </sheetViews>
  <sheetFormatPr baseColWidth="10" defaultColWidth="8.83203125" defaultRowHeight="15" x14ac:dyDescent="0.2"/>
  <cols>
    <col min="1" max="1" width="8" customWidth="1"/>
    <col min="2" max="2" width="11.6640625" customWidth="1"/>
    <col min="3" max="3" width="15" customWidth="1"/>
    <col min="4" max="4" width="34" customWidth="1"/>
    <col min="5" max="5" width="9" customWidth="1"/>
    <col min="6" max="6" width="46" customWidth="1"/>
    <col min="7" max="7" width="40" customWidth="1"/>
    <col min="8" max="8" width="8" customWidth="1"/>
  </cols>
  <sheetData>
    <row r="1" spans="1:8" ht="26" customHeight="1" x14ac:dyDescent="0.2">
      <c r="A1" s="45" t="s">
        <v>0</v>
      </c>
      <c r="B1" s="45"/>
      <c r="C1" s="45"/>
      <c r="D1" s="45"/>
      <c r="E1" s="45"/>
      <c r="F1" s="45"/>
      <c r="G1" s="45"/>
      <c r="H1" s="45"/>
    </row>
    <row r="2" spans="1:8" ht="30" customHeight="1" x14ac:dyDescent="0.2">
      <c r="A2" s="17" t="s">
        <v>1</v>
      </c>
      <c r="B2" s="18" t="s">
        <v>2</v>
      </c>
      <c r="C2" s="16" t="s">
        <v>3</v>
      </c>
      <c r="D2" s="19" t="s">
        <v>4</v>
      </c>
      <c r="E2" s="19" t="s">
        <v>5</v>
      </c>
      <c r="F2" s="19" t="s">
        <v>6</v>
      </c>
      <c r="G2" s="19" t="s">
        <v>7</v>
      </c>
      <c r="H2" s="19" t="s">
        <v>8</v>
      </c>
    </row>
    <row r="3" spans="1:8" ht="42" customHeight="1" x14ac:dyDescent="0.2">
      <c r="A3" s="24" t="s">
        <v>256</v>
      </c>
      <c r="B3" s="11" t="s">
        <v>238</v>
      </c>
      <c r="C3" s="25" t="s">
        <v>11</v>
      </c>
      <c r="D3" s="14" t="s">
        <v>273</v>
      </c>
      <c r="E3" s="26">
        <v>5</v>
      </c>
      <c r="F3" s="14" t="str">
        <f>_xlfn.XLOOKUP($B3,Features!$A$3:$A$37,Features!$C$3:$C$37,"—")</f>
        <v>Design and documentation tooling (Figma / AI design tools); no runtime technology</v>
      </c>
      <c r="G3" s="14" t="s">
        <v>290</v>
      </c>
      <c r="H3" s="27" t="s">
        <v>307</v>
      </c>
    </row>
    <row r="4" spans="1:8" ht="42" customHeight="1" x14ac:dyDescent="0.2">
      <c r="A4" s="28" t="s">
        <v>257</v>
      </c>
      <c r="B4" s="12" t="s">
        <v>241</v>
      </c>
      <c r="C4" s="29" t="s">
        <v>11</v>
      </c>
      <c r="D4" s="15" t="s">
        <v>274</v>
      </c>
      <c r="E4" s="30">
        <v>3</v>
      </c>
      <c r="F4" s="15" t="str">
        <f>_xlfn.XLOOKUP($B4,Features!$A$3:$A$37,Features!$C$3:$C$37,"—")</f>
        <v>Backend (Spring Boot), NEA data.gov.sg WBGT / lightning APIs, cached JSON fixtures</v>
      </c>
      <c r="G4" s="15" t="s">
        <v>291</v>
      </c>
      <c r="H4" s="31" t="s">
        <v>307</v>
      </c>
    </row>
    <row r="5" spans="1:8" ht="42" customHeight="1" x14ac:dyDescent="0.2">
      <c r="A5" s="24" t="s">
        <v>9</v>
      </c>
      <c r="B5" s="11" t="s">
        <v>10</v>
      </c>
      <c r="C5" s="25" t="s">
        <v>11</v>
      </c>
      <c r="D5" s="14" t="s">
        <v>12</v>
      </c>
      <c r="E5" s="26">
        <v>5</v>
      </c>
      <c r="F5" s="14" t="str">
        <f>_xlfn.XLOOKUP($B5,Features!$A$3:$A$37,Features!$C$3:$C$37,"—")</f>
        <v>Amazon Cognito + JWT, Spring Security resource server, Web (React, TS), Mobile (React Native)</v>
      </c>
      <c r="G5" s="14" t="s">
        <v>13</v>
      </c>
      <c r="H5" s="27" t="s">
        <v>14</v>
      </c>
    </row>
    <row r="6" spans="1:8" ht="42" customHeight="1" x14ac:dyDescent="0.2">
      <c r="A6" s="28" t="s">
        <v>15</v>
      </c>
      <c r="B6" s="12" t="s">
        <v>16</v>
      </c>
      <c r="C6" s="29" t="s">
        <v>11</v>
      </c>
      <c r="D6" s="15" t="s">
        <v>17</v>
      </c>
      <c r="E6" s="30">
        <v>8</v>
      </c>
      <c r="F6" s="15" t="str">
        <f>_xlfn.XLOOKUP($B6,Features!$A$3:$A$37,Features!$C$3:$C$37,"—")</f>
        <v>Web (React, MUI), Backend (Spring Boot, Spring Data JPA, PostgreSQL)</v>
      </c>
      <c r="G6" s="15" t="s">
        <v>18</v>
      </c>
      <c r="H6" s="31" t="s">
        <v>14</v>
      </c>
    </row>
    <row r="7" spans="1:8" ht="42" customHeight="1" x14ac:dyDescent="0.2">
      <c r="A7" s="24" t="s">
        <v>19</v>
      </c>
      <c r="B7" s="11" t="s">
        <v>20</v>
      </c>
      <c r="C7" s="25" t="s">
        <v>11</v>
      </c>
      <c r="D7" s="14" t="s">
        <v>21</v>
      </c>
      <c r="E7" s="26">
        <v>5</v>
      </c>
      <c r="F7" s="14" t="str">
        <f>_xlfn.XLOOKUP($B7,Features!$A$3:$A$37,Features!$C$3:$C$37,"—")</f>
        <v>Mobile (React Native, Expo), Backend (Spring Boot, PostgreSQL)</v>
      </c>
      <c r="G7" s="14" t="s">
        <v>22</v>
      </c>
      <c r="H7" s="27" t="s">
        <v>14</v>
      </c>
    </row>
    <row r="8" spans="1:8" ht="42" customHeight="1" x14ac:dyDescent="0.2">
      <c r="A8" s="28" t="s">
        <v>23</v>
      </c>
      <c r="B8" s="12" t="s">
        <v>24</v>
      </c>
      <c r="C8" s="29" t="s">
        <v>11</v>
      </c>
      <c r="D8" s="15" t="s">
        <v>25</v>
      </c>
      <c r="E8" s="30">
        <v>8</v>
      </c>
      <c r="F8" s="15" t="str">
        <f>_xlfn.XLOOKUP($B8,Features!$A$3:$A$37,Features!$C$3:$C$37,"—")</f>
        <v>Backend (Spring Boot scheduler), NEA data.gov.sg APIs, PostgreSQL</v>
      </c>
      <c r="G8" s="15" t="s">
        <v>26</v>
      </c>
      <c r="H8" s="31" t="s">
        <v>14</v>
      </c>
    </row>
    <row r="9" spans="1:8" ht="42" customHeight="1" x14ac:dyDescent="0.2">
      <c r="A9" s="24" t="s">
        <v>27</v>
      </c>
      <c r="B9" s="11" t="s">
        <v>28</v>
      </c>
      <c r="C9" s="25" t="s">
        <v>11</v>
      </c>
      <c r="D9" s="14" t="s">
        <v>29</v>
      </c>
      <c r="E9" s="26">
        <v>5</v>
      </c>
      <c r="F9" s="14" t="str">
        <f>_xlfn.XLOOKUP($B9,Features!$A$3:$A$37,Features!$C$3:$C$37,"—")</f>
        <v>Backend (Spring Boot), NEA lightning observation API, React + React Native</v>
      </c>
      <c r="G9" s="14" t="s">
        <v>30</v>
      </c>
      <c r="H9" s="27" t="s">
        <v>14</v>
      </c>
    </row>
    <row r="10" spans="1:8" ht="42" customHeight="1" x14ac:dyDescent="0.2">
      <c r="A10" s="28" t="s">
        <v>31</v>
      </c>
      <c r="B10" s="12" t="s">
        <v>32</v>
      </c>
      <c r="C10" s="29" t="s">
        <v>11</v>
      </c>
      <c r="D10" s="15" t="s">
        <v>33</v>
      </c>
      <c r="E10" s="30">
        <v>5</v>
      </c>
      <c r="F10" s="15" t="str">
        <f>_xlfn.XLOOKUP($B10,Features!$A$3:$A$37,Features!$C$3:$C$37,"—")</f>
        <v>Web (React, Chart.js), Server-Sent Events, Backend (Spring Boot)</v>
      </c>
      <c r="G10" s="15" t="s">
        <v>34</v>
      </c>
      <c r="H10" s="31" t="s">
        <v>14</v>
      </c>
    </row>
    <row r="11" spans="1:8" ht="42" customHeight="1" x14ac:dyDescent="0.2">
      <c r="A11" s="24" t="s">
        <v>258</v>
      </c>
      <c r="B11" s="11" t="s">
        <v>127</v>
      </c>
      <c r="C11" s="25" t="s">
        <v>11</v>
      </c>
      <c r="D11" s="14" t="s">
        <v>275</v>
      </c>
      <c r="E11" s="26">
        <v>5</v>
      </c>
      <c r="F11" s="14" t="str">
        <f>_xlfn.XLOOKUP($B11,Features!$A$3:$A$37,Features!$C$3:$C$37,"—")</f>
        <v>Terraform with the HashiCorp AWS Provider: CloudFront/S3, ECS Fargate, ALB, ECR, RDS, Cognito, Bedrock, EventBridge Scheduler, Secrets Manager</v>
      </c>
      <c r="G11" s="14" t="s">
        <v>292</v>
      </c>
      <c r="H11" s="27" t="s">
        <v>14</v>
      </c>
    </row>
    <row r="12" spans="1:8" ht="42" customHeight="1" x14ac:dyDescent="0.2">
      <c r="A12" s="28" t="s">
        <v>259</v>
      </c>
      <c r="B12" s="12" t="s">
        <v>129</v>
      </c>
      <c r="C12" s="29" t="s">
        <v>11</v>
      </c>
      <c r="D12" s="15" t="s">
        <v>276</v>
      </c>
      <c r="E12" s="30">
        <v>5</v>
      </c>
      <c r="F12" s="15" t="str">
        <f>_xlfn.XLOOKUP($B12,Features!$A$3:$A$37,Features!$C$3:$C$37,"—")</f>
        <v>CI/CD pipeline: automated tests and application, dependency, secret, infrastructure and container scanning; build, test, scan, publish and deploy approved releases</v>
      </c>
      <c r="G12" s="15" t="s">
        <v>293</v>
      </c>
      <c r="H12" s="31" t="s">
        <v>14</v>
      </c>
    </row>
    <row r="13" spans="1:8" ht="42" customHeight="1" x14ac:dyDescent="0.2">
      <c r="A13" s="24" t="s">
        <v>260</v>
      </c>
      <c r="B13" s="11" t="s">
        <v>229</v>
      </c>
      <c r="C13" s="32" t="s">
        <v>82</v>
      </c>
      <c r="D13" s="14" t="s">
        <v>277</v>
      </c>
      <c r="E13" s="26">
        <v>3</v>
      </c>
      <c r="F13" s="14" t="str">
        <f>_xlfn.XLOOKUP($B13,Features!$A$3:$A$37,Features!$C$3:$C$37,"—")</f>
        <v>Structured JSON logs, correlation IDs, health checks (Spring Boot Actuator), Amazon CloudWatch</v>
      </c>
      <c r="G13" s="14" t="s">
        <v>294</v>
      </c>
      <c r="H13" s="27" t="s">
        <v>14</v>
      </c>
    </row>
    <row r="14" spans="1:8" ht="42" customHeight="1" x14ac:dyDescent="0.2">
      <c r="A14" s="28" t="s">
        <v>35</v>
      </c>
      <c r="B14" s="12" t="s">
        <v>36</v>
      </c>
      <c r="C14" s="29" t="s">
        <v>11</v>
      </c>
      <c r="D14" s="15" t="s">
        <v>37</v>
      </c>
      <c r="E14" s="30">
        <v>8</v>
      </c>
      <c r="F14" s="15" t="str">
        <f>_xlfn.XLOOKUP($B14,Features!$A$3:$A$37,Features!$C$3:$C$37,"—")</f>
        <v>Python ML (pandas, scikit-learn; HistGradientBoostingRegressor primary, Ridge / persistence baselines, XGBoost optional challenger; time-based validation)</v>
      </c>
      <c r="G14" s="15" t="s">
        <v>38</v>
      </c>
      <c r="H14" s="31" t="s">
        <v>39</v>
      </c>
    </row>
    <row r="15" spans="1:8" ht="42" customHeight="1" x14ac:dyDescent="0.2">
      <c r="A15" s="24" t="s">
        <v>40</v>
      </c>
      <c r="B15" s="11" t="s">
        <v>41</v>
      </c>
      <c r="C15" s="25" t="s">
        <v>11</v>
      </c>
      <c r="D15" s="14" t="s">
        <v>42</v>
      </c>
      <c r="E15" s="26">
        <v>8</v>
      </c>
      <c r="F15" s="14" t="str">
        <f>_xlfn.XLOOKUP($B15,Features!$A$3:$A$37,Features!$C$3:$C$37,"—")</f>
        <v>Backend (Java 21 rules engine, PostgreSQL policy config)</v>
      </c>
      <c r="G15" s="14" t="s">
        <v>43</v>
      </c>
      <c r="H15" s="27" t="s">
        <v>39</v>
      </c>
    </row>
    <row r="16" spans="1:8" ht="42" customHeight="1" x14ac:dyDescent="0.2">
      <c r="A16" s="28" t="s">
        <v>44</v>
      </c>
      <c r="B16" s="12" t="s">
        <v>45</v>
      </c>
      <c r="C16" s="29" t="s">
        <v>11</v>
      </c>
      <c r="D16" s="15" t="s">
        <v>46</v>
      </c>
      <c r="E16" s="30">
        <v>8</v>
      </c>
      <c r="F16" s="15" t="str">
        <f>_xlfn.XLOOKUP($B16,Features!$A$3:$A$37,Features!$C$3:$C$37,"—")</f>
        <v>Agentic AI (Python, FastAPI, LangChain / LangGraph, Amazon Bedrock, tool calling, Pydantic schemas)</v>
      </c>
      <c r="G16" s="15" t="s">
        <v>47</v>
      </c>
      <c r="H16" s="31" t="s">
        <v>39</v>
      </c>
    </row>
    <row r="17" spans="1:8" ht="42" customHeight="1" x14ac:dyDescent="0.2">
      <c r="A17" s="24" t="s">
        <v>48</v>
      </c>
      <c r="B17" s="11" t="s">
        <v>49</v>
      </c>
      <c r="C17" s="25" t="s">
        <v>11</v>
      </c>
      <c r="D17" s="14" t="s">
        <v>50</v>
      </c>
      <c r="E17" s="26">
        <v>5</v>
      </c>
      <c r="F17" s="14" t="str">
        <f>_xlfn.XLOOKUP($B17,Features!$A$3:$A$37,Features!$C$3:$C$37,"—")</f>
        <v>Web (React), Backend (Spring Boot)</v>
      </c>
      <c r="G17" s="14" t="s">
        <v>51</v>
      </c>
      <c r="H17" s="27" t="s">
        <v>39</v>
      </c>
    </row>
    <row r="18" spans="1:8" ht="42" customHeight="1" x14ac:dyDescent="0.2">
      <c r="A18" s="28" t="s">
        <v>52</v>
      </c>
      <c r="B18" s="12" t="s">
        <v>53</v>
      </c>
      <c r="C18" s="29" t="s">
        <v>11</v>
      </c>
      <c r="D18" s="15" t="s">
        <v>54</v>
      </c>
      <c r="E18" s="30">
        <v>8</v>
      </c>
      <c r="F18" s="15" t="str">
        <f>_xlfn.XLOOKUP($B18,Features!$A$3:$A$37,Features!$C$3:$C$37,"—")</f>
        <v>Mobile (React Native), Backend (idempotency, PostgreSQL)</v>
      </c>
      <c r="G18" s="15" t="s">
        <v>55</v>
      </c>
      <c r="H18" s="31" t="s">
        <v>39</v>
      </c>
    </row>
    <row r="19" spans="1:8" ht="42" customHeight="1" x14ac:dyDescent="0.2">
      <c r="A19" s="24" t="s">
        <v>56</v>
      </c>
      <c r="B19" s="11" t="s">
        <v>57</v>
      </c>
      <c r="C19" s="25" t="s">
        <v>11</v>
      </c>
      <c r="D19" s="14" t="s">
        <v>58</v>
      </c>
      <c r="E19" s="26">
        <v>5</v>
      </c>
      <c r="F19" s="14" t="str">
        <f>_xlfn.XLOOKUP($B19,Features!$A$3:$A$37,Features!$C$3:$C$37,"—")</f>
        <v>Mobile (React Native), Backend (Spring Boot)</v>
      </c>
      <c r="G19" s="14" t="s">
        <v>59</v>
      </c>
      <c r="H19" s="27" t="s">
        <v>39</v>
      </c>
    </row>
    <row r="20" spans="1:8" ht="42" customHeight="1" x14ac:dyDescent="0.2">
      <c r="A20" s="28" t="s">
        <v>60</v>
      </c>
      <c r="B20" s="12" t="s">
        <v>61</v>
      </c>
      <c r="C20" s="29" t="s">
        <v>11</v>
      </c>
      <c r="D20" s="15" t="s">
        <v>62</v>
      </c>
      <c r="E20" s="30">
        <v>5</v>
      </c>
      <c r="F20" s="15" t="str">
        <f>_xlfn.XLOOKUP($B20,Features!$A$3:$A$37,Features!$C$3:$C$37,"—")</f>
        <v>Web (React, Chart.js), Server-Sent Events, Backend (Spring Boot)</v>
      </c>
      <c r="G20" s="15" t="s">
        <v>63</v>
      </c>
      <c r="H20" s="31" t="s">
        <v>39</v>
      </c>
    </row>
    <row r="21" spans="1:8" ht="42" customHeight="1" x14ac:dyDescent="0.2">
      <c r="A21" s="24" t="s">
        <v>261</v>
      </c>
      <c r="B21" s="11" t="s">
        <v>217</v>
      </c>
      <c r="C21" s="25" t="s">
        <v>11</v>
      </c>
      <c r="D21" s="14" t="s">
        <v>278</v>
      </c>
      <c r="E21" s="26">
        <v>5</v>
      </c>
      <c r="F21" s="14" t="str">
        <f>_xlfn.XLOOKUP($B21,Features!$A$3:$A$37,Features!$C$3:$C$37,"—")</f>
        <v>Web (React), Backend (Java 21, Spring Boot, Spring Data JPA), PostgreSQL policy_version tables</v>
      </c>
      <c r="G21" s="14" t="s">
        <v>295</v>
      </c>
      <c r="H21" s="27" t="s">
        <v>39</v>
      </c>
    </row>
    <row r="22" spans="1:8" ht="45" x14ac:dyDescent="0.2">
      <c r="A22" s="28" t="s">
        <v>262</v>
      </c>
      <c r="B22" s="12" t="s">
        <v>129</v>
      </c>
      <c r="C22" s="29" t="s">
        <v>11</v>
      </c>
      <c r="D22" s="15" t="s">
        <v>279</v>
      </c>
      <c r="E22" s="30">
        <v>5</v>
      </c>
      <c r="F22" s="15" t="str">
        <f>_xlfn.XLOOKUP($B22,Features!$A$3:$A$37,Features!$C$3:$C$37,"—")</f>
        <v>CI/CD pipeline: automated tests and application, dependency, secret, infrastructure and container scanning; build, test, scan, publish and deploy approved releases</v>
      </c>
      <c r="G22" s="15" t="s">
        <v>296</v>
      </c>
      <c r="H22" s="31" t="s">
        <v>39</v>
      </c>
    </row>
    <row r="23" spans="1:8" ht="30" x14ac:dyDescent="0.2">
      <c r="A23" s="24" t="s">
        <v>311</v>
      </c>
      <c r="B23" s="11" t="s">
        <v>131</v>
      </c>
      <c r="C23" s="32" t="s">
        <v>82</v>
      </c>
      <c r="D23" s="14" t="s">
        <v>312</v>
      </c>
      <c r="E23" s="26">
        <v>3</v>
      </c>
      <c r="F23" s="14" t="str">
        <f>_xlfn.XLOOKUP($B23,Features!$A$3:$A$37,Features!$C$3:$C$37,"—")</f>
        <v>LangSmith (agent run tracing, plan-quality evaluation, tool-call monitoring, prompt testing; not the authoritative audit record)</v>
      </c>
      <c r="G23" s="14" t="s">
        <v>313</v>
      </c>
      <c r="H23" s="27" t="s">
        <v>39</v>
      </c>
    </row>
    <row r="24" spans="1:8" ht="30" x14ac:dyDescent="0.2">
      <c r="A24" s="28" t="s">
        <v>64</v>
      </c>
      <c r="B24" s="12" t="s">
        <v>65</v>
      </c>
      <c r="C24" s="29" t="s">
        <v>11</v>
      </c>
      <c r="D24" s="15" t="s">
        <v>66</v>
      </c>
      <c r="E24" s="30">
        <v>8</v>
      </c>
      <c r="F24" s="15" t="str">
        <f>_xlfn.XLOOKUP($B24,Features!$A$3:$A$37,Features!$C$3:$C$37,"—")</f>
        <v>Web (React, Chart.js), Backend aggregation</v>
      </c>
      <c r="G24" s="15" t="s">
        <v>67</v>
      </c>
      <c r="H24" s="31" t="s">
        <v>68</v>
      </c>
    </row>
    <row r="25" spans="1:8" ht="30" x14ac:dyDescent="0.2">
      <c r="A25" s="24" t="s">
        <v>69</v>
      </c>
      <c r="B25" s="11" t="s">
        <v>70</v>
      </c>
      <c r="C25" s="25" t="s">
        <v>11</v>
      </c>
      <c r="D25" s="14" t="s">
        <v>71</v>
      </c>
      <c r="E25" s="26">
        <v>5</v>
      </c>
      <c r="F25" s="14" t="str">
        <f>_xlfn.XLOOKUP($B25,Features!$A$3:$A$37,Features!$C$3:$C$37,"—")</f>
        <v>Web (Chart.js), Python ML metrics (time-based validation), Backend</v>
      </c>
      <c r="G25" s="14" t="s">
        <v>72</v>
      </c>
      <c r="H25" s="27" t="s">
        <v>68</v>
      </c>
    </row>
    <row r="26" spans="1:8" x14ac:dyDescent="0.2">
      <c r="A26" s="28" t="s">
        <v>73</v>
      </c>
      <c r="B26" s="12" t="s">
        <v>74</v>
      </c>
      <c r="C26" s="29" t="s">
        <v>11</v>
      </c>
      <c r="D26" s="15" t="s">
        <v>75</v>
      </c>
      <c r="E26" s="30">
        <v>5</v>
      </c>
      <c r="F26" s="15" t="str">
        <f>_xlfn.XLOOKUP($B26,Features!$A$3:$A$37,Features!$C$3:$C$37,"—")</f>
        <v>Backend (export service), Web, PostgreSQL append-only audit</v>
      </c>
      <c r="G26" s="15" t="s">
        <v>76</v>
      </c>
      <c r="H26" s="31" t="s">
        <v>68</v>
      </c>
    </row>
    <row r="27" spans="1:8" ht="30" x14ac:dyDescent="0.2">
      <c r="A27" s="24" t="s">
        <v>77</v>
      </c>
      <c r="B27" s="11" t="s">
        <v>78</v>
      </c>
      <c r="C27" s="25" t="s">
        <v>11</v>
      </c>
      <c r="D27" s="14" t="s">
        <v>79</v>
      </c>
      <c r="E27" s="26">
        <v>8</v>
      </c>
      <c r="F27" s="14" t="str">
        <f>_xlfn.XLOOKUP($B27,Features!$A$3:$A$37,Features!$C$3:$C$37,"—")</f>
        <v>Backend fallback adapters (NEA / ML / LLM)</v>
      </c>
      <c r="G27" s="14" t="s">
        <v>80</v>
      </c>
      <c r="H27" s="27" t="s">
        <v>68</v>
      </c>
    </row>
    <row r="28" spans="1:8" ht="30" x14ac:dyDescent="0.2">
      <c r="A28" s="28" t="s">
        <v>81</v>
      </c>
      <c r="B28" s="12" t="s">
        <v>53</v>
      </c>
      <c r="C28" s="33" t="s">
        <v>82</v>
      </c>
      <c r="D28" s="15" t="s">
        <v>83</v>
      </c>
      <c r="E28" s="30">
        <v>3</v>
      </c>
      <c r="F28" s="15" t="str">
        <f>_xlfn.XLOOKUP($B28,Features!$A$3:$A$37,Features!$C$3:$C$37,"—")</f>
        <v>Mobile (React Native), Backend (idempotency, PostgreSQL)</v>
      </c>
      <c r="G28" s="15" t="s">
        <v>84</v>
      </c>
      <c r="H28" s="31" t="s">
        <v>68</v>
      </c>
    </row>
    <row r="29" spans="1:8" ht="30" x14ac:dyDescent="0.2">
      <c r="A29" s="24" t="s">
        <v>263</v>
      </c>
      <c r="B29" s="11" t="s">
        <v>223</v>
      </c>
      <c r="C29" s="32" t="s">
        <v>82</v>
      </c>
      <c r="D29" s="14" t="s">
        <v>280</v>
      </c>
      <c r="E29" s="26">
        <v>3</v>
      </c>
      <c r="F29" s="14" t="str">
        <f>_xlfn.XLOOKUP($B29,Features!$A$3:$A$37,Features!$C$3:$C$37,"—")</f>
        <v>Mobile (React Native) + Web (React), Backend (Spring Boot), PostgreSQL</v>
      </c>
      <c r="G29" s="14" t="s">
        <v>297</v>
      </c>
      <c r="H29" s="27" t="s">
        <v>68</v>
      </c>
    </row>
    <row r="30" spans="1:8" ht="30" x14ac:dyDescent="0.2">
      <c r="A30" s="28" t="s">
        <v>264</v>
      </c>
      <c r="B30" s="12" t="s">
        <v>220</v>
      </c>
      <c r="C30" s="33" t="s">
        <v>82</v>
      </c>
      <c r="D30" s="15" t="s">
        <v>281</v>
      </c>
      <c r="E30" s="30">
        <v>5</v>
      </c>
      <c r="F30" s="15" t="str">
        <f>_xlfn.XLOOKUP($B30,Features!$A$3:$A$37,Features!$C$3:$C$37,"—")</f>
        <v>Agentic AI (LangGraph guardrails, Pydantic schemas), Backend validation (Java 21), automated test harness</v>
      </c>
      <c r="G30" s="15" t="s">
        <v>298</v>
      </c>
      <c r="H30" s="31" t="s">
        <v>68</v>
      </c>
    </row>
    <row r="31" spans="1:8" ht="45" x14ac:dyDescent="0.2">
      <c r="A31" s="24" t="s">
        <v>265</v>
      </c>
      <c r="B31" s="11" t="s">
        <v>231</v>
      </c>
      <c r="C31" s="25" t="s">
        <v>11</v>
      </c>
      <c r="D31" s="14" t="s">
        <v>282</v>
      </c>
      <c r="E31" s="26">
        <v>8</v>
      </c>
      <c r="F31" s="14" t="str">
        <f>_xlfn.XLOOKUP($B31,Features!$A$3:$A$37,Features!$C$3:$C$37,"—")</f>
        <v>OWASP-style tests (authz, injection, XSS, prompt injection, audit tamper); CI/CD dependency, secret, infrastructure and container scanning</v>
      </c>
      <c r="G31" s="14" t="s">
        <v>299</v>
      </c>
      <c r="H31" s="27" t="s">
        <v>68</v>
      </c>
    </row>
    <row r="32" spans="1:8" ht="30" x14ac:dyDescent="0.2">
      <c r="A32" s="28" t="s">
        <v>266</v>
      </c>
      <c r="B32" s="12" t="s">
        <v>226</v>
      </c>
      <c r="C32" s="33" t="s">
        <v>82</v>
      </c>
      <c r="D32" s="15" t="s">
        <v>283</v>
      </c>
      <c r="E32" s="30">
        <v>3</v>
      </c>
      <c r="F32" s="15" t="str">
        <f>_xlfn.XLOOKUP($B32,Features!$A$3:$A$37,Features!$C$3:$C$37,"—")</f>
        <v>Python ML (scikit-learn, SHAP), model-card documentation, time-based validation metrics</v>
      </c>
      <c r="G32" s="15" t="s">
        <v>300</v>
      </c>
      <c r="H32" s="31" t="s">
        <v>68</v>
      </c>
    </row>
    <row r="33" spans="1:8" ht="30" x14ac:dyDescent="0.2">
      <c r="A33" s="24" t="s">
        <v>267</v>
      </c>
      <c r="B33" s="11" t="s">
        <v>235</v>
      </c>
      <c r="C33" s="32" t="s">
        <v>82</v>
      </c>
      <c r="D33" s="14" t="s">
        <v>284</v>
      </c>
      <c r="E33" s="26">
        <v>5</v>
      </c>
      <c r="F33" s="14" t="str">
        <f>_xlfn.XLOOKUP($B33,Features!$A$3:$A$37,Features!$C$3:$C$37,"—")</f>
        <v>Web (React), Amazon Cognito, Spring Security, Backend (Spring Boot), PostgreSQL</v>
      </c>
      <c r="G33" s="14" t="s">
        <v>301</v>
      </c>
      <c r="H33" s="27" t="s">
        <v>68</v>
      </c>
    </row>
    <row r="34" spans="1:8" ht="30" x14ac:dyDescent="0.2">
      <c r="A34" s="28" t="s">
        <v>268</v>
      </c>
      <c r="B34" s="12" t="s">
        <v>233</v>
      </c>
      <c r="C34" s="33" t="s">
        <v>82</v>
      </c>
      <c r="D34" s="15" t="s">
        <v>285</v>
      </c>
      <c r="E34" s="30">
        <v>3</v>
      </c>
      <c r="F34" s="15" t="str">
        <f>_xlfn.XLOOKUP($B34,Features!$A$3:$A$37,Features!$C$3:$C$37,"—")</f>
        <v>Web (React) + Mobile (React Native), axe / Lighthouse, load testing (WCAG 2.1 AA basics; p95 latency)</v>
      </c>
      <c r="G34" s="15" t="s">
        <v>302</v>
      </c>
      <c r="H34" s="31" t="s">
        <v>68</v>
      </c>
    </row>
    <row r="35" spans="1:8" ht="30" x14ac:dyDescent="0.2">
      <c r="A35" s="24" t="s">
        <v>85</v>
      </c>
      <c r="B35" s="11" t="s">
        <v>86</v>
      </c>
      <c r="C35" s="34" t="s">
        <v>87</v>
      </c>
      <c r="D35" s="14" t="s">
        <v>88</v>
      </c>
      <c r="E35" s="26">
        <v>5</v>
      </c>
      <c r="F35" s="14" t="str">
        <f>_xlfn.XLOOKUP($B35,Features!$A$3:$A$37,Features!$C$3:$C$37,"—")</f>
        <v>Agentic AI (human-approved template via LangChain on Amazon Bedrock), Mobile</v>
      </c>
      <c r="G35" s="14" t="s">
        <v>89</v>
      </c>
      <c r="H35" s="27" t="s">
        <v>90</v>
      </c>
    </row>
    <row r="36" spans="1:8" ht="30" x14ac:dyDescent="0.2">
      <c r="A36" s="28" t="s">
        <v>269</v>
      </c>
      <c r="B36" s="12" t="s">
        <v>244</v>
      </c>
      <c r="C36" s="35" t="s">
        <v>87</v>
      </c>
      <c r="D36" s="15" t="s">
        <v>286</v>
      </c>
      <c r="E36" s="30">
        <v>3</v>
      </c>
      <c r="F36" s="15" t="str">
        <f>_xlfn.XLOOKUP($B36,Features!$A$3:$A$37,Features!$C$3:$C$37,"—")</f>
        <v>Mobile (React Native, Expo Camera), Backend (Spring Boot), PostgreSQL append-only audit</v>
      </c>
      <c r="G36" s="15" t="s">
        <v>303</v>
      </c>
      <c r="H36" s="31" t="s">
        <v>90</v>
      </c>
    </row>
    <row r="37" spans="1:8" x14ac:dyDescent="0.2">
      <c r="A37" s="24" t="s">
        <v>270</v>
      </c>
      <c r="B37" s="11" t="s">
        <v>247</v>
      </c>
      <c r="C37" s="34" t="s">
        <v>87</v>
      </c>
      <c r="D37" s="14" t="s">
        <v>287</v>
      </c>
      <c r="E37" s="26">
        <v>5</v>
      </c>
      <c r="F37" s="14" t="str">
        <f>_xlfn.XLOOKUP($B37,Features!$A$3:$A$37,Features!$C$3:$C$37,"—")</f>
        <v>Web (React, Chart.js), Backend (Spring Boot), site-scoped RBAC</v>
      </c>
      <c r="G37" s="14" t="s">
        <v>304</v>
      </c>
      <c r="H37" s="27" t="s">
        <v>90</v>
      </c>
    </row>
    <row r="38" spans="1:8" ht="30" x14ac:dyDescent="0.2">
      <c r="A38" s="28" t="s">
        <v>271</v>
      </c>
      <c r="B38" s="12" t="s">
        <v>250</v>
      </c>
      <c r="C38" s="35" t="s">
        <v>87</v>
      </c>
      <c r="D38" s="15" t="s">
        <v>288</v>
      </c>
      <c r="E38" s="30">
        <v>3</v>
      </c>
      <c r="F38" s="15" t="str">
        <f>_xlfn.XLOOKUP($B38,Features!$A$3:$A$37,Features!$C$3:$C$37,"—")</f>
        <v>Web (React) + Mobile (React Native), Backend (Spring Boot), PostgreSQL with source &amp; timestamp</v>
      </c>
      <c r="G38" s="15" t="s">
        <v>305</v>
      </c>
      <c r="H38" s="31" t="s">
        <v>90</v>
      </c>
    </row>
    <row r="39" spans="1:8" ht="30" x14ac:dyDescent="0.2">
      <c r="A39" s="24" t="s">
        <v>272</v>
      </c>
      <c r="B39" s="11" t="s">
        <v>253</v>
      </c>
      <c r="C39" s="34" t="s">
        <v>87</v>
      </c>
      <c r="D39" s="14" t="s">
        <v>289</v>
      </c>
      <c r="E39" s="26">
        <v>5</v>
      </c>
      <c r="F39" s="14" t="str">
        <f>_xlfn.XLOOKUP($B39,Features!$A$3:$A$37,Features!$C$3:$C$37,"—")</f>
        <v>Mobile (React Native, Expo + Firebase Cloud Messaging), Backend (Spring Boot)</v>
      </c>
      <c r="G39" s="14" t="s">
        <v>306</v>
      </c>
      <c r="H39" s="27" t="s">
        <v>90</v>
      </c>
    </row>
  </sheetData>
  <mergeCells count="1">
    <mergeCell ref="A1:H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C2B725A-B6BE-EE45-BB77-B2550612C9A0}">
          <x14:formula1>
            <xm:f>Features!$A$3:$A$23</xm:f>
          </x14:formula1>
          <xm:sqref>B3:B21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zoomScale="130" workbookViewId="0">
      <pane ySplit="2" topLeftCell="A18" activePane="bottomLeft" state="frozen"/>
      <selection pane="bottomLeft" activeCell="C31" sqref="C31"/>
    </sheetView>
  </sheetViews>
  <sheetFormatPr baseColWidth="10" defaultColWidth="8.83203125" defaultRowHeight="15" x14ac:dyDescent="0.2"/>
  <cols>
    <col min="1" max="1" width="11.6640625" customWidth="1"/>
    <col min="2" max="2" width="40" customWidth="1"/>
    <col min="3" max="3" width="72" customWidth="1"/>
    <col min="4" max="4" width="18.33203125" customWidth="1"/>
  </cols>
  <sheetData>
    <row r="1" spans="1:4" ht="26" customHeight="1" x14ac:dyDescent="0.2">
      <c r="A1" s="46" t="s">
        <v>91</v>
      </c>
      <c r="B1" s="46"/>
      <c r="C1" s="46"/>
      <c r="D1" s="46"/>
    </row>
    <row r="2" spans="1:4" ht="26" customHeight="1" x14ac:dyDescent="0.2">
      <c r="A2" s="8" t="s">
        <v>2</v>
      </c>
      <c r="B2" s="1" t="s">
        <v>92</v>
      </c>
      <c r="C2" s="1" t="s">
        <v>93</v>
      </c>
      <c r="D2" s="13" t="s">
        <v>94</v>
      </c>
    </row>
    <row r="3" spans="1:4" ht="30" customHeight="1" x14ac:dyDescent="0.2">
      <c r="A3" s="9" t="s">
        <v>10</v>
      </c>
      <c r="B3" s="6" t="s">
        <v>95</v>
      </c>
      <c r="C3" s="2" t="s">
        <v>96</v>
      </c>
      <c r="D3" s="14" t="str" cm="1">
        <f t="array" ref="D3">_xlfn.TEXTJOIN(", ",TRUE,IF('Product Backlog'!$B$3:$B$39=$A3,'Product Backlog'!$A$3:$A$39,""))</f>
        <v>US-01</v>
      </c>
    </row>
    <row r="4" spans="1:4" ht="30" customHeight="1" x14ac:dyDescent="0.2">
      <c r="A4" s="10" t="s">
        <v>16</v>
      </c>
      <c r="B4" s="7" t="s">
        <v>97</v>
      </c>
      <c r="C4" s="4" t="s">
        <v>98</v>
      </c>
      <c r="D4" s="15" t="str" cm="1">
        <f t="array" ref="D4">_xlfn.TEXTJOIN(", ",TRUE,IF('Product Backlog'!$B$3:$B$39=$A4,'Product Backlog'!$A$3:$A$39,""))</f>
        <v>US-02</v>
      </c>
    </row>
    <row r="5" spans="1:4" ht="30" customHeight="1" x14ac:dyDescent="0.2">
      <c r="A5" s="9" t="s">
        <v>20</v>
      </c>
      <c r="B5" s="6" t="s">
        <v>99</v>
      </c>
      <c r="C5" s="2" t="s">
        <v>100</v>
      </c>
      <c r="D5" s="14" t="str" cm="1">
        <f t="array" ref="D5">_xlfn.TEXTJOIN(", ",TRUE,IF('Product Backlog'!$B$3:$B$39=$A5,'Product Backlog'!$A$3:$A$39,""))</f>
        <v>US-03</v>
      </c>
    </row>
    <row r="6" spans="1:4" ht="30" customHeight="1" x14ac:dyDescent="0.2">
      <c r="A6" s="10" t="s">
        <v>24</v>
      </c>
      <c r="B6" s="7" t="s">
        <v>101</v>
      </c>
      <c r="C6" s="4" t="s">
        <v>102</v>
      </c>
      <c r="D6" s="15" t="str" cm="1">
        <f t="array" ref="D6">_xlfn.TEXTJOIN(", ",TRUE,IF('Product Backlog'!$B$3:$B$39=$A6,'Product Backlog'!$A$3:$A$39,""))</f>
        <v>US-04</v>
      </c>
    </row>
    <row r="7" spans="1:4" ht="30" customHeight="1" x14ac:dyDescent="0.2">
      <c r="A7" s="9" t="s">
        <v>28</v>
      </c>
      <c r="B7" s="6" t="s">
        <v>103</v>
      </c>
      <c r="C7" s="2" t="s">
        <v>104</v>
      </c>
      <c r="D7" s="14" t="str" cm="1">
        <f t="array" ref="D7">_xlfn.TEXTJOIN(", ",TRUE,IF('Product Backlog'!$B$3:$B$39=$A7,'Product Backlog'!$A$3:$A$39,""))</f>
        <v>US-04L</v>
      </c>
    </row>
    <row r="8" spans="1:4" ht="30" customHeight="1" x14ac:dyDescent="0.2">
      <c r="A8" s="10" t="s">
        <v>32</v>
      </c>
      <c r="B8" s="7" t="s">
        <v>105</v>
      </c>
      <c r="C8" s="4" t="s">
        <v>106</v>
      </c>
      <c r="D8" s="15" t="str" cm="1">
        <f t="array" ref="D8">_xlfn.TEXTJOIN(", ",TRUE,IF('Product Backlog'!$B$3:$B$39=$A8,'Product Backlog'!$A$3:$A$39,""))</f>
        <v>US-05</v>
      </c>
    </row>
    <row r="9" spans="1:4" ht="30" customHeight="1" x14ac:dyDescent="0.2">
      <c r="A9" s="9" t="s">
        <v>36</v>
      </c>
      <c r="B9" s="6" t="s">
        <v>107</v>
      </c>
      <c r="C9" s="2" t="s">
        <v>211</v>
      </c>
      <c r="D9" s="14" t="str" cm="1">
        <f t="array" ref="D9">_xlfn.TEXTJOIN(", ",TRUE,IF('Product Backlog'!$B$3:$B$39=$A9,'Product Backlog'!$A$3:$A$39,""))</f>
        <v>US-06</v>
      </c>
    </row>
    <row r="10" spans="1:4" ht="30" customHeight="1" x14ac:dyDescent="0.2">
      <c r="A10" s="10" t="s">
        <v>41</v>
      </c>
      <c r="B10" s="7" t="s">
        <v>108</v>
      </c>
      <c r="C10" s="4" t="s">
        <v>109</v>
      </c>
      <c r="D10" s="15" t="str" cm="1">
        <f t="array" ref="D10">_xlfn.TEXTJOIN(", ",TRUE,IF('Product Backlog'!$B$3:$B$39=$A10,'Product Backlog'!$A$3:$A$39,""))</f>
        <v>US-07</v>
      </c>
    </row>
    <row r="11" spans="1:4" ht="30" customHeight="1" x14ac:dyDescent="0.2">
      <c r="A11" s="9" t="s">
        <v>45</v>
      </c>
      <c r="B11" s="6" t="s">
        <v>110</v>
      </c>
      <c r="C11" s="2" t="s">
        <v>212</v>
      </c>
      <c r="D11" s="14" t="str" cm="1">
        <f t="array" ref="D11">_xlfn.TEXTJOIN(", ",TRUE,IF('Product Backlog'!$B$3:$B$39=$A11,'Product Backlog'!$A$3:$A$39,""))</f>
        <v>US-08</v>
      </c>
    </row>
    <row r="12" spans="1:4" ht="30" customHeight="1" x14ac:dyDescent="0.2">
      <c r="A12" s="10" t="s">
        <v>49</v>
      </c>
      <c r="B12" s="7" t="s">
        <v>111</v>
      </c>
      <c r="C12" s="4" t="s">
        <v>112</v>
      </c>
      <c r="D12" s="15" t="str" cm="1">
        <f t="array" ref="D12">_xlfn.TEXTJOIN(", ",TRUE,IF('Product Backlog'!$B$3:$B$39=$A12,'Product Backlog'!$A$3:$A$39,""))</f>
        <v>US-09</v>
      </c>
    </row>
    <row r="13" spans="1:4" ht="30" customHeight="1" x14ac:dyDescent="0.2">
      <c r="A13" s="9" t="s">
        <v>53</v>
      </c>
      <c r="B13" s="6" t="s">
        <v>113</v>
      </c>
      <c r="C13" s="2" t="s">
        <v>114</v>
      </c>
      <c r="D13" s="14" t="str" cm="1">
        <f t="array" ref="D13">_xlfn.TEXTJOIN(", ",TRUE,IF('Product Backlog'!$B$3:$B$39=$A13,'Product Backlog'!$A$3:$A$39,""))</f>
        <v>US-10, US-17</v>
      </c>
    </row>
    <row r="14" spans="1:4" ht="30" customHeight="1" x14ac:dyDescent="0.2">
      <c r="A14" s="10" t="s">
        <v>57</v>
      </c>
      <c r="B14" s="7" t="s">
        <v>115</v>
      </c>
      <c r="C14" s="4" t="s">
        <v>116</v>
      </c>
      <c r="D14" s="15" t="str" cm="1">
        <f t="array" ref="D14">_xlfn.TEXTJOIN(", ",TRUE,IF('Product Backlog'!$B$3:$B$39=$A14,'Product Backlog'!$A$3:$A$39,""))</f>
        <v>US-11</v>
      </c>
    </row>
    <row r="15" spans="1:4" ht="30" customHeight="1" x14ac:dyDescent="0.2">
      <c r="A15" s="9" t="s">
        <v>61</v>
      </c>
      <c r="B15" s="6" t="s">
        <v>117</v>
      </c>
      <c r="C15" s="2" t="s">
        <v>106</v>
      </c>
      <c r="D15" s="14" t="str" cm="1">
        <f t="array" ref="D15">_xlfn.TEXTJOIN(", ",TRUE,IF('Product Backlog'!$B$3:$B$39=$A15,'Product Backlog'!$A$3:$A$39,""))</f>
        <v>US-12</v>
      </c>
    </row>
    <row r="16" spans="1:4" ht="30" customHeight="1" x14ac:dyDescent="0.2">
      <c r="A16" s="10" t="s">
        <v>65</v>
      </c>
      <c r="B16" s="7" t="s">
        <v>118</v>
      </c>
      <c r="C16" s="4" t="s">
        <v>119</v>
      </c>
      <c r="D16" s="15" t="str" cm="1">
        <f t="array" ref="D16">_xlfn.TEXTJOIN(", ",TRUE,IF('Product Backlog'!$B$3:$B$39=$A16,'Product Backlog'!$A$3:$A$39,""))</f>
        <v>US-13</v>
      </c>
    </row>
    <row r="17" spans="1:4" ht="30" customHeight="1" x14ac:dyDescent="0.2">
      <c r="A17" s="9" t="s">
        <v>70</v>
      </c>
      <c r="B17" s="6" t="s">
        <v>120</v>
      </c>
      <c r="C17" s="2" t="s">
        <v>121</v>
      </c>
      <c r="D17" s="14" t="str" cm="1">
        <f t="array" ref="D17">_xlfn.TEXTJOIN(", ",TRUE,IF('Product Backlog'!$B$3:$B$39=$A17,'Product Backlog'!$A$3:$A$39,""))</f>
        <v>US-14</v>
      </c>
    </row>
    <row r="18" spans="1:4" ht="30" customHeight="1" x14ac:dyDescent="0.2">
      <c r="A18" s="10" t="s">
        <v>74</v>
      </c>
      <c r="B18" s="7" t="s">
        <v>122</v>
      </c>
      <c r="C18" s="4" t="s">
        <v>123</v>
      </c>
      <c r="D18" s="15" t="str" cm="1">
        <f t="array" ref="D18">_xlfn.TEXTJOIN(", ",TRUE,IF('Product Backlog'!$B$3:$B$39=$A18,'Product Backlog'!$A$3:$A$39,""))</f>
        <v>US-15</v>
      </c>
    </row>
    <row r="19" spans="1:4" ht="30" customHeight="1" x14ac:dyDescent="0.2">
      <c r="A19" s="9" t="s">
        <v>78</v>
      </c>
      <c r="B19" s="6" t="s">
        <v>124</v>
      </c>
      <c r="C19" s="2" t="s">
        <v>125</v>
      </c>
      <c r="D19" s="14" t="str" cm="1">
        <f t="array" ref="D19">_xlfn.TEXTJOIN(", ",TRUE,IF('Product Backlog'!$B$3:$B$39=$A19,'Product Backlog'!$A$3:$A$39,""))</f>
        <v>US-16</v>
      </c>
    </row>
    <row r="20" spans="1:4" ht="30" customHeight="1" x14ac:dyDescent="0.2">
      <c r="A20" s="10" t="s">
        <v>86</v>
      </c>
      <c r="B20" s="7" t="s">
        <v>126</v>
      </c>
      <c r="C20" s="4" t="s">
        <v>213</v>
      </c>
      <c r="D20" s="15" t="str" cm="1">
        <f t="array" ref="D20">_xlfn.TEXTJOIN(", ",TRUE,IF('Product Backlog'!$B$3:$B$39=$A20,'Product Backlog'!$A$3:$A$39,""))</f>
        <v>US-18</v>
      </c>
    </row>
    <row r="21" spans="1:4" ht="30" customHeight="1" x14ac:dyDescent="0.2">
      <c r="A21" s="9" t="s">
        <v>127</v>
      </c>
      <c r="B21" s="6" t="s">
        <v>128</v>
      </c>
      <c r="C21" s="2" t="s">
        <v>214</v>
      </c>
      <c r="D21" s="14" t="str" cm="1">
        <f t="array" ref="D21">_xlfn.TEXTJOIN(", ",TRUE,IF('Product Backlog'!$B$3:$B$39=$A21,'Product Backlog'!$A$3:$A$39,""))</f>
        <v>US-21</v>
      </c>
    </row>
    <row r="22" spans="1:4" ht="30" customHeight="1" x14ac:dyDescent="0.2">
      <c r="A22" s="10" t="s">
        <v>129</v>
      </c>
      <c r="B22" s="7" t="s">
        <v>130</v>
      </c>
      <c r="C22" s="4" t="s">
        <v>215</v>
      </c>
      <c r="D22" s="15" t="str" cm="1">
        <f t="array" ref="D22">_xlfn.TEXTJOIN(", ",TRUE,IF('Product Backlog'!$B$3:$B$39=$A22,'Product Backlog'!$A$3:$A$39,""))</f>
        <v>US-22, US-27</v>
      </c>
    </row>
    <row r="23" spans="1:4" ht="30" x14ac:dyDescent="0.2">
      <c r="A23" s="11" t="s">
        <v>131</v>
      </c>
      <c r="B23" s="20" t="s">
        <v>132</v>
      </c>
      <c r="C23" s="14" t="s">
        <v>216</v>
      </c>
      <c r="D23" s="14" t="str" cm="1">
        <f t="array" ref="D23">_xlfn.TEXTJOIN(", ",TRUE,IF('Product Backlog'!$B$3:$B$39=$A23,'Product Backlog'!$A$3:$A$39,""))</f>
        <v>US-36</v>
      </c>
    </row>
    <row r="24" spans="1:4" x14ac:dyDescent="0.2">
      <c r="A24" s="10" t="s">
        <v>217</v>
      </c>
      <c r="B24" s="7" t="s">
        <v>218</v>
      </c>
      <c r="C24" s="4" t="s">
        <v>219</v>
      </c>
      <c r="D24" s="15" t="str" cm="1">
        <f t="array" ref="D24">_xlfn.TEXTJOIN(", ",TRUE,IF('Product Backlog'!$B$3:$B$39=$A24,'Product Backlog'!$A$3:$A$39,""))</f>
        <v>US-24</v>
      </c>
    </row>
    <row r="25" spans="1:4" ht="30" x14ac:dyDescent="0.2">
      <c r="A25" s="11" t="s">
        <v>220</v>
      </c>
      <c r="B25" s="20" t="s">
        <v>221</v>
      </c>
      <c r="C25" s="14" t="s">
        <v>222</v>
      </c>
      <c r="D25" s="14" t="str" cm="1">
        <f t="array" ref="D25">_xlfn.TEXTJOIN(", ",TRUE,IF('Product Backlog'!$B$3:$B$39=$A25,'Product Backlog'!$A$3:$A$39,""))</f>
        <v>US-26</v>
      </c>
    </row>
    <row r="26" spans="1:4" x14ac:dyDescent="0.2">
      <c r="A26" s="10" t="s">
        <v>223</v>
      </c>
      <c r="B26" s="7" t="s">
        <v>224</v>
      </c>
      <c r="C26" s="4" t="s">
        <v>225</v>
      </c>
      <c r="D26" s="15" t="str" cm="1">
        <f t="array" ref="D26">_xlfn.TEXTJOIN(", ",TRUE,IF('Product Backlog'!$B$3:$B$39=$A26,'Product Backlog'!$A$3:$A$39,""))</f>
        <v>US-25</v>
      </c>
    </row>
    <row r="27" spans="1:4" x14ac:dyDescent="0.2">
      <c r="A27" s="11" t="s">
        <v>226</v>
      </c>
      <c r="B27" s="20" t="s">
        <v>227</v>
      </c>
      <c r="C27" s="14" t="s">
        <v>228</v>
      </c>
      <c r="D27" s="14" t="str" cm="1">
        <f t="array" ref="D27">_xlfn.TEXTJOIN(", ",TRUE,IF('Product Backlog'!$B$3:$B$39=$A27,'Product Backlog'!$A$3:$A$39,""))</f>
        <v>US-29</v>
      </c>
    </row>
    <row r="28" spans="1:4" x14ac:dyDescent="0.2">
      <c r="A28" s="10" t="s">
        <v>229</v>
      </c>
      <c r="B28" s="7" t="s">
        <v>308</v>
      </c>
      <c r="C28" s="4" t="s">
        <v>230</v>
      </c>
      <c r="D28" s="15" t="str" cm="1">
        <f t="array" ref="D28">_xlfn.TEXTJOIN(", ",TRUE,IF('Product Backlog'!$B$3:$B$39=$A28,'Product Backlog'!$A$3:$A$39,""))</f>
        <v>US-23</v>
      </c>
    </row>
    <row r="29" spans="1:4" ht="30" x14ac:dyDescent="0.2">
      <c r="A29" s="11" t="s">
        <v>231</v>
      </c>
      <c r="B29" s="20" t="s">
        <v>309</v>
      </c>
      <c r="C29" s="14" t="s">
        <v>232</v>
      </c>
      <c r="D29" s="14" t="str" cm="1">
        <f t="array" ref="D29">_xlfn.TEXTJOIN(", ",TRUE,IF('Product Backlog'!$B$3:$B$39=$A29,'Product Backlog'!$A$3:$A$39,""))</f>
        <v>US-28</v>
      </c>
    </row>
    <row r="30" spans="1:4" x14ac:dyDescent="0.2">
      <c r="A30" s="10" t="s">
        <v>233</v>
      </c>
      <c r="B30" s="7" t="s">
        <v>310</v>
      </c>
      <c r="C30" s="4" t="s">
        <v>234</v>
      </c>
      <c r="D30" s="15" t="str" cm="1">
        <f t="array" ref="D30">_xlfn.TEXTJOIN(", ",TRUE,IF('Product Backlog'!$B$3:$B$39=$A30,'Product Backlog'!$A$3:$A$39,""))</f>
        <v>US-31</v>
      </c>
    </row>
    <row r="31" spans="1:4" x14ac:dyDescent="0.2">
      <c r="A31" s="11" t="s">
        <v>235</v>
      </c>
      <c r="B31" s="20" t="s">
        <v>236</v>
      </c>
      <c r="C31" s="14" t="s">
        <v>237</v>
      </c>
      <c r="D31" s="14" t="str" cm="1">
        <f t="array" ref="D31">_xlfn.TEXTJOIN(", ",TRUE,IF('Product Backlog'!$B$3:$B$39=$A31,'Product Backlog'!$A$3:$A$39,""))</f>
        <v>US-30</v>
      </c>
    </row>
    <row r="32" spans="1:4" ht="30" x14ac:dyDescent="0.2">
      <c r="A32" s="10" t="s">
        <v>238</v>
      </c>
      <c r="B32" s="7" t="s">
        <v>239</v>
      </c>
      <c r="C32" s="4" t="s">
        <v>240</v>
      </c>
      <c r="D32" s="15" t="str" cm="1">
        <f t="array" ref="D32">_xlfn.TEXTJOIN(", ",TRUE,IF('Product Backlog'!$B$3:$B$39=$A32,'Product Backlog'!$A$3:$A$39,""))</f>
        <v>US-19</v>
      </c>
    </row>
    <row r="33" spans="1:4" x14ac:dyDescent="0.2">
      <c r="A33" s="11" t="s">
        <v>241</v>
      </c>
      <c r="B33" s="20" t="s">
        <v>242</v>
      </c>
      <c r="C33" s="14" t="s">
        <v>243</v>
      </c>
      <c r="D33" s="14" t="str" cm="1">
        <f t="array" ref="D33">_xlfn.TEXTJOIN(", ",TRUE,IF('Product Backlog'!$B$3:$B$39=$A33,'Product Backlog'!$A$3:$A$39,""))</f>
        <v>US-20</v>
      </c>
    </row>
    <row r="34" spans="1:4" x14ac:dyDescent="0.2">
      <c r="A34" s="10" t="s">
        <v>244</v>
      </c>
      <c r="B34" s="7" t="s">
        <v>245</v>
      </c>
      <c r="C34" s="4" t="s">
        <v>246</v>
      </c>
      <c r="D34" s="15" t="str" cm="1">
        <f t="array" ref="D34">_xlfn.TEXTJOIN(", ",TRUE,IF('Product Backlog'!$B$3:$B$39=$A34,'Product Backlog'!$A$3:$A$39,""))</f>
        <v>US-32</v>
      </c>
    </row>
    <row r="35" spans="1:4" x14ac:dyDescent="0.2">
      <c r="A35" s="11" t="s">
        <v>247</v>
      </c>
      <c r="B35" s="20" t="s">
        <v>248</v>
      </c>
      <c r="C35" s="14" t="s">
        <v>249</v>
      </c>
      <c r="D35" s="14" t="str" cm="1">
        <f t="array" ref="D35">_xlfn.TEXTJOIN(", ",TRUE,IF('Product Backlog'!$B$3:$B$39=$A35,'Product Backlog'!$A$3:$A$39,""))</f>
        <v>US-33</v>
      </c>
    </row>
    <row r="36" spans="1:4" x14ac:dyDescent="0.2">
      <c r="A36" s="10" t="s">
        <v>250</v>
      </c>
      <c r="B36" s="7" t="s">
        <v>251</v>
      </c>
      <c r="C36" s="4" t="s">
        <v>252</v>
      </c>
      <c r="D36" s="15" t="str" cm="1">
        <f t="array" ref="D36">_xlfn.TEXTJOIN(", ",TRUE,IF('Product Backlog'!$B$3:$B$39=$A36,'Product Backlog'!$A$3:$A$39,""))</f>
        <v>US-34</v>
      </c>
    </row>
    <row r="37" spans="1:4" x14ac:dyDescent="0.2">
      <c r="A37" s="11" t="s">
        <v>253</v>
      </c>
      <c r="B37" s="20" t="s">
        <v>254</v>
      </c>
      <c r="C37" s="14" t="s">
        <v>255</v>
      </c>
      <c r="D37" s="14" t="str" cm="1">
        <f t="array" ref="D37">_xlfn.TEXTJOIN(", ",TRUE,IF('Product Backlog'!$B$3:$B$39=$A37,'Product Backlog'!$A$3:$A$39,""))</f>
        <v>US-35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9"/>
  <sheetViews>
    <sheetView tabSelected="1" workbookViewId="0">
      <pane ySplit="2" topLeftCell="A3" activePane="bottomLeft" state="frozen"/>
      <selection pane="bottomLeft" activeCell="B34" sqref="B34"/>
    </sheetView>
  </sheetViews>
  <sheetFormatPr baseColWidth="10" defaultColWidth="8.83203125" defaultRowHeight="15" x14ac:dyDescent="0.2"/>
  <cols>
    <col min="1" max="1" width="24" customWidth="1"/>
    <col min="2" max="2" width="66" customWidth="1"/>
  </cols>
  <sheetData>
    <row r="1" spans="1:2" ht="26" customHeight="1" x14ac:dyDescent="0.2">
      <c r="A1" s="44" t="s">
        <v>133</v>
      </c>
      <c r="B1" s="43"/>
    </row>
    <row r="2" spans="1:2" ht="24" customHeight="1" x14ac:dyDescent="0.2">
      <c r="A2" s="1" t="s">
        <v>134</v>
      </c>
      <c r="B2" s="1" t="s">
        <v>135</v>
      </c>
    </row>
    <row r="3" spans="1:2" ht="22" customHeight="1" x14ac:dyDescent="0.2">
      <c r="A3" s="42" t="s">
        <v>136</v>
      </c>
      <c r="B3" s="43"/>
    </row>
    <row r="4" spans="1:2" ht="22" customHeight="1" x14ac:dyDescent="0.2">
      <c r="A4" s="21" t="s">
        <v>137</v>
      </c>
      <c r="B4" s="15" t="s">
        <v>138</v>
      </c>
    </row>
    <row r="5" spans="1:2" ht="22" customHeight="1" x14ac:dyDescent="0.2">
      <c r="A5" s="20" t="s">
        <v>139</v>
      </c>
      <c r="B5" s="14" t="s">
        <v>140</v>
      </c>
    </row>
    <row r="6" spans="1:2" ht="22" customHeight="1" x14ac:dyDescent="0.2">
      <c r="A6" s="21" t="s">
        <v>141</v>
      </c>
      <c r="B6" s="15" t="s">
        <v>107</v>
      </c>
    </row>
    <row r="7" spans="1:2" ht="22" customHeight="1" x14ac:dyDescent="0.2">
      <c r="A7" s="20" t="s">
        <v>142</v>
      </c>
      <c r="B7" s="14" t="s">
        <v>108</v>
      </c>
    </row>
    <row r="8" spans="1:2" ht="22" customHeight="1" x14ac:dyDescent="0.2">
      <c r="A8" s="21" t="s">
        <v>143</v>
      </c>
      <c r="B8" s="15" t="s">
        <v>144</v>
      </c>
    </row>
    <row r="9" spans="1:2" ht="22" customHeight="1" x14ac:dyDescent="0.2">
      <c r="A9" s="20" t="s">
        <v>145</v>
      </c>
      <c r="B9" s="14" t="s">
        <v>146</v>
      </c>
    </row>
    <row r="10" spans="1:2" ht="22" customHeight="1" x14ac:dyDescent="0.2">
      <c r="A10" s="21" t="s">
        <v>145</v>
      </c>
      <c r="B10" s="15" t="s">
        <v>147</v>
      </c>
    </row>
    <row r="11" spans="1:2" ht="22" customHeight="1" x14ac:dyDescent="0.2">
      <c r="A11" s="20" t="s">
        <v>145</v>
      </c>
      <c r="B11" s="14" t="s">
        <v>148</v>
      </c>
    </row>
    <row r="12" spans="1:2" ht="22" customHeight="1" x14ac:dyDescent="0.2">
      <c r="A12" s="21" t="s">
        <v>145</v>
      </c>
      <c r="B12" s="15" t="s">
        <v>149</v>
      </c>
    </row>
    <row r="13" spans="1:2" ht="22" customHeight="1" x14ac:dyDescent="0.2">
      <c r="A13" s="20" t="s">
        <v>145</v>
      </c>
      <c r="B13" s="14" t="s">
        <v>314</v>
      </c>
    </row>
    <row r="14" spans="1:2" ht="22" customHeight="1" x14ac:dyDescent="0.2">
      <c r="A14" s="21" t="s">
        <v>145</v>
      </c>
      <c r="B14" s="15" t="s">
        <v>315</v>
      </c>
    </row>
    <row r="15" spans="1:2" ht="22" customHeight="1" x14ac:dyDescent="0.2">
      <c r="A15" s="20" t="s">
        <v>150</v>
      </c>
      <c r="B15" s="14" t="s">
        <v>151</v>
      </c>
    </row>
    <row r="16" spans="1:2" ht="22" customHeight="1" x14ac:dyDescent="0.2">
      <c r="A16" s="21" t="s">
        <v>150</v>
      </c>
      <c r="B16" s="15" t="s">
        <v>152</v>
      </c>
    </row>
    <row r="17" spans="1:2" ht="22" customHeight="1" x14ac:dyDescent="0.2">
      <c r="A17" s="20" t="s">
        <v>150</v>
      </c>
      <c r="B17" s="14" t="s">
        <v>153</v>
      </c>
    </row>
    <row r="18" spans="1:2" ht="22" customHeight="1" x14ac:dyDescent="0.2">
      <c r="A18" s="21" t="s">
        <v>150</v>
      </c>
      <c r="B18" s="15" t="s">
        <v>154</v>
      </c>
    </row>
    <row r="19" spans="1:2" ht="22" customHeight="1" x14ac:dyDescent="0.2">
      <c r="A19" s="6" t="s">
        <v>150</v>
      </c>
      <c r="B19" s="2" t="s">
        <v>155</v>
      </c>
    </row>
    <row r="20" spans="1:2" ht="22" customHeight="1" x14ac:dyDescent="0.2">
      <c r="A20" s="21" t="s">
        <v>150</v>
      </c>
      <c r="B20" s="15" t="s">
        <v>316</v>
      </c>
    </row>
    <row r="21" spans="1:2" ht="22" customHeight="1" x14ac:dyDescent="0.2">
      <c r="A21" s="20" t="s">
        <v>150</v>
      </c>
      <c r="B21" s="14" t="s">
        <v>317</v>
      </c>
    </row>
    <row r="22" spans="1:2" ht="22" customHeight="1" x14ac:dyDescent="0.2">
      <c r="A22" s="21" t="s">
        <v>150</v>
      </c>
      <c r="B22" s="15" t="s">
        <v>318</v>
      </c>
    </row>
    <row r="23" spans="1:2" ht="22" customHeight="1" x14ac:dyDescent="0.2">
      <c r="A23" s="40" t="s">
        <v>156</v>
      </c>
      <c r="B23" s="41"/>
    </row>
    <row r="24" spans="1:2" ht="22" customHeight="1" x14ac:dyDescent="0.2">
      <c r="A24" s="21" t="s">
        <v>157</v>
      </c>
      <c r="B24" s="15" t="s">
        <v>319</v>
      </c>
    </row>
    <row r="25" spans="1:2" ht="22" customHeight="1" x14ac:dyDescent="0.2">
      <c r="A25" s="20" t="s">
        <v>157</v>
      </c>
      <c r="B25" s="14" t="s">
        <v>158</v>
      </c>
    </row>
    <row r="26" spans="1:2" x14ac:dyDescent="0.2">
      <c r="A26" s="36" t="s">
        <v>157</v>
      </c>
      <c r="B26" s="37" t="s">
        <v>320</v>
      </c>
    </row>
    <row r="27" spans="1:2" x14ac:dyDescent="0.2">
      <c r="A27" s="38" t="s">
        <v>157</v>
      </c>
      <c r="B27" s="39" t="s">
        <v>321</v>
      </c>
    </row>
    <row r="28" spans="1:2" x14ac:dyDescent="0.2">
      <c r="A28" s="36" t="s">
        <v>322</v>
      </c>
      <c r="B28" s="37" t="s">
        <v>323</v>
      </c>
    </row>
    <row r="29" spans="1:2" x14ac:dyDescent="0.2">
      <c r="A29" s="38" t="s">
        <v>324</v>
      </c>
      <c r="B29" s="39" t="s">
        <v>325</v>
      </c>
    </row>
  </sheetData>
  <mergeCells count="3">
    <mergeCell ref="A23:B23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zoomScale="160" zoomScaleNormal="160" workbookViewId="0">
      <pane ySplit="2" topLeftCell="A3" activePane="bottomLeft" state="frozen"/>
      <selection pane="bottomLeft" sqref="A1:C1"/>
    </sheetView>
  </sheetViews>
  <sheetFormatPr baseColWidth="10" defaultColWidth="8.83203125" defaultRowHeight="15" x14ac:dyDescent="0.2"/>
  <cols>
    <col min="1" max="1" width="18" customWidth="1"/>
    <col min="2" max="2" width="46" customWidth="1"/>
    <col min="3" max="3" width="56" customWidth="1"/>
  </cols>
  <sheetData>
    <row r="1" spans="1:3" ht="26" customHeight="1" x14ac:dyDescent="0.2">
      <c r="A1" s="44" t="s">
        <v>159</v>
      </c>
      <c r="B1" s="43"/>
      <c r="C1" s="43"/>
    </row>
    <row r="2" spans="1:3" ht="24" customHeight="1" x14ac:dyDescent="0.2">
      <c r="A2" s="1" t="s">
        <v>160</v>
      </c>
      <c r="B2" s="1" t="s">
        <v>161</v>
      </c>
      <c r="C2" s="1" t="s">
        <v>162</v>
      </c>
    </row>
    <row r="3" spans="1:3" x14ac:dyDescent="0.2">
      <c r="A3" s="20" t="s">
        <v>163</v>
      </c>
      <c r="B3" s="14" t="s">
        <v>164</v>
      </c>
      <c r="C3" s="14" t="s">
        <v>165</v>
      </c>
    </row>
    <row r="4" spans="1:3" x14ac:dyDescent="0.2">
      <c r="A4" s="21" t="s">
        <v>166</v>
      </c>
      <c r="B4" s="15" t="s">
        <v>167</v>
      </c>
      <c r="C4" s="15" t="s">
        <v>168</v>
      </c>
    </row>
    <row r="5" spans="1:3" x14ac:dyDescent="0.2">
      <c r="A5" s="20" t="s">
        <v>169</v>
      </c>
      <c r="B5" s="14" t="s">
        <v>170</v>
      </c>
      <c r="C5" s="14" t="s">
        <v>171</v>
      </c>
    </row>
    <row r="6" spans="1:3" x14ac:dyDescent="0.2">
      <c r="A6" s="21" t="s">
        <v>172</v>
      </c>
      <c r="B6" s="15" t="s">
        <v>173</v>
      </c>
      <c r="C6" s="15" t="s">
        <v>174</v>
      </c>
    </row>
    <row r="7" spans="1:3" ht="45" x14ac:dyDescent="0.2">
      <c r="A7" s="20" t="s">
        <v>175</v>
      </c>
      <c r="B7" s="14" t="s">
        <v>202</v>
      </c>
      <c r="C7" s="14" t="s">
        <v>203</v>
      </c>
    </row>
    <row r="8" spans="1:3" ht="30" x14ac:dyDescent="0.2">
      <c r="A8" s="21" t="s">
        <v>176</v>
      </c>
      <c r="B8" s="15" t="s">
        <v>204</v>
      </c>
      <c r="C8" s="15" t="s">
        <v>205</v>
      </c>
    </row>
    <row r="9" spans="1:3" ht="30" x14ac:dyDescent="0.2">
      <c r="A9" s="20" t="s">
        <v>177</v>
      </c>
      <c r="B9" s="14" t="s">
        <v>178</v>
      </c>
      <c r="C9" s="14" t="s">
        <v>206</v>
      </c>
    </row>
    <row r="10" spans="1:3" ht="30" x14ac:dyDescent="0.2">
      <c r="A10" s="21" t="s">
        <v>179</v>
      </c>
      <c r="B10" s="15" t="s">
        <v>180</v>
      </c>
      <c r="C10" s="15" t="s">
        <v>181</v>
      </c>
    </row>
    <row r="11" spans="1:3" x14ac:dyDescent="0.2">
      <c r="A11" s="20" t="s">
        <v>182</v>
      </c>
      <c r="B11" s="14" t="s">
        <v>183</v>
      </c>
      <c r="C11" s="14" t="s">
        <v>184</v>
      </c>
    </row>
    <row r="12" spans="1:3" x14ac:dyDescent="0.2">
      <c r="A12" s="21" t="s">
        <v>185</v>
      </c>
      <c r="B12" s="15" t="s">
        <v>186</v>
      </c>
      <c r="C12" s="15" t="s">
        <v>187</v>
      </c>
    </row>
    <row r="13" spans="1:3" ht="30" x14ac:dyDescent="0.2">
      <c r="A13" s="20" t="s">
        <v>188</v>
      </c>
      <c r="B13" s="14" t="s">
        <v>207</v>
      </c>
      <c r="C13" s="14" t="s">
        <v>208</v>
      </c>
    </row>
    <row r="14" spans="1:3" x14ac:dyDescent="0.2">
      <c r="A14" s="21" t="s">
        <v>189</v>
      </c>
      <c r="B14" s="15" t="s">
        <v>190</v>
      </c>
      <c r="C14" s="15" t="s">
        <v>191</v>
      </c>
    </row>
    <row r="15" spans="1:3" ht="30" x14ac:dyDescent="0.2">
      <c r="A15" s="20" t="s">
        <v>192</v>
      </c>
      <c r="B15" s="14" t="s">
        <v>193</v>
      </c>
      <c r="C15" s="14" t="s">
        <v>194</v>
      </c>
    </row>
    <row r="16" spans="1:3" ht="30" x14ac:dyDescent="0.2">
      <c r="A16" s="21" t="s">
        <v>195</v>
      </c>
      <c r="B16" s="15" t="s">
        <v>209</v>
      </c>
      <c r="C16" s="15" t="s">
        <v>210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7"/>
  <sheetViews>
    <sheetView workbookViewId="0">
      <pane xSplit="2" ySplit="2" topLeftCell="C3" activePane="bottomRight" state="frozen"/>
      <selection pane="topRight"/>
      <selection pane="bottomLeft"/>
      <selection pane="bottomRight" sqref="A1:G1"/>
    </sheetView>
  </sheetViews>
  <sheetFormatPr baseColWidth="10" defaultColWidth="8.83203125" defaultRowHeight="15" x14ac:dyDescent="0.2"/>
  <cols>
    <col min="1" max="1" width="34" customWidth="1"/>
    <col min="2" max="2" width="105.83203125" bestFit="1" customWidth="1"/>
    <col min="3" max="3" width="5.83203125" bestFit="1" customWidth="1"/>
    <col min="4" max="5" width="13" customWidth="1"/>
    <col min="6" max="7" width="16" customWidth="1"/>
  </cols>
  <sheetData>
    <row r="1" spans="1:7" ht="26" customHeight="1" x14ac:dyDescent="0.2">
      <c r="A1" s="44" t="s">
        <v>196</v>
      </c>
      <c r="B1" s="43"/>
      <c r="C1" s="43"/>
      <c r="D1" s="43"/>
      <c r="E1" s="43"/>
      <c r="F1" s="43"/>
      <c r="G1" s="43"/>
    </row>
    <row r="2" spans="1:7" ht="30" customHeight="1" x14ac:dyDescent="0.2">
      <c r="A2" s="1" t="s">
        <v>197</v>
      </c>
      <c r="B2" s="1" t="s">
        <v>6</v>
      </c>
      <c r="C2" s="1" t="s">
        <v>8</v>
      </c>
      <c r="D2" s="1" t="s">
        <v>198</v>
      </c>
      <c r="E2" s="1" t="s">
        <v>199</v>
      </c>
      <c r="F2" s="1" t="s">
        <v>200</v>
      </c>
      <c r="G2" s="1" t="s">
        <v>201</v>
      </c>
    </row>
    <row r="3" spans="1:7" ht="26" customHeight="1" x14ac:dyDescent="0.2">
      <c r="A3" s="6" t="str">
        <f>Features!B32</f>
        <v>[Inception] Prioritised backlog, use-case diagram &amp; UI prototype</v>
      </c>
      <c r="B3" s="2" t="str">
        <f>Features!C32</f>
        <v>Design and documentation tooling (Figma / AI design tools); no runtime technology</v>
      </c>
      <c r="C3" s="3" t="str">
        <f>IFERROR(_xlfn.XLOOKUP(Features!$A32,'Product Backlog'!$B$3:$B$39,'Product Backlog'!$H$3:$H$39),"—")</f>
        <v>0</v>
      </c>
      <c r="D3" s="22"/>
      <c r="E3" s="22"/>
      <c r="F3" s="22"/>
      <c r="G3" s="22"/>
    </row>
    <row r="4" spans="1:7" ht="26" customHeight="1" x14ac:dyDescent="0.2">
      <c r="A4" s="7" t="str">
        <f>Features!B33</f>
        <v>[Spike] NEA feed feasibility &amp; cached demo fixtures</v>
      </c>
      <c r="B4" s="4" t="str">
        <f>Features!C33</f>
        <v>Backend (Spring Boot), NEA data.gov.sg WBGT / lightning APIs, cached JSON fixtures</v>
      </c>
      <c r="C4" s="5" t="str">
        <f>IFERROR(_xlfn.XLOOKUP(Features!$A33,'Product Backlog'!$B$3:$B$39,'Product Backlog'!$H$3:$H$39),"—")</f>
        <v>0</v>
      </c>
      <c r="D4" s="23"/>
      <c r="E4" s="23"/>
      <c r="F4" s="23"/>
      <c r="G4" s="23"/>
    </row>
    <row r="5" spans="1:7" ht="26" customHeight="1" x14ac:dyDescent="0.2">
      <c r="A5" s="6" t="str">
        <f>Features!B3</f>
        <v>Authenticate &amp; site-scoped access</v>
      </c>
      <c r="B5" s="2" t="str">
        <f>Features!C3</f>
        <v>Amazon Cognito + JWT, Spring Security resource server, Web (React, TS), Mobile (React Native)</v>
      </c>
      <c r="C5" s="3" t="str">
        <f>IFERROR(_xlfn.XLOOKUP(Features!$A3,'Product Backlog'!$B$3:$B$39,'Product Backlog'!$H$3:$H$39),"—")</f>
        <v>1</v>
      </c>
      <c r="D5" s="22"/>
      <c r="E5" s="22"/>
      <c r="F5" s="22"/>
      <c r="G5" s="22"/>
    </row>
    <row r="6" spans="1:7" ht="26" customHeight="1" x14ac:dyDescent="0.2">
      <c r="A6" s="7" t="str">
        <f>Features!B4</f>
        <v>Configure shift, tasks &amp; assignments</v>
      </c>
      <c r="B6" s="4" t="str">
        <f>Features!C4</f>
        <v>Web (React, MUI), Backend (Spring Boot, Spring Data JPA, PostgreSQL)</v>
      </c>
      <c r="C6" s="5" t="str">
        <f>IFERROR(_xlfn.XLOOKUP(Features!$A4,'Product Backlog'!$B$3:$B$39,'Product Backlog'!$H$3:$H$39),"—")</f>
        <v>1</v>
      </c>
      <c r="D6" s="23"/>
      <c r="E6" s="23"/>
      <c r="F6" s="23"/>
      <c r="G6" s="23"/>
    </row>
    <row r="7" spans="1:7" ht="26" customHeight="1" x14ac:dyDescent="0.2">
      <c r="A7" s="6" t="str">
        <f>Features!B5</f>
        <v>Complete worker readiness check</v>
      </c>
      <c r="B7" s="2" t="str">
        <f>Features!C5</f>
        <v>Mobile (React Native, Expo), Backend (Spring Boot, PostgreSQL)</v>
      </c>
      <c r="C7" s="3" t="str">
        <f>IFERROR(_xlfn.XLOOKUP(Features!$A5,'Product Backlog'!$B$3:$B$39,'Product Backlog'!$H$3:$H$39),"—")</f>
        <v>1</v>
      </c>
      <c r="D7" s="22"/>
      <c r="E7" s="22"/>
      <c r="F7" s="22"/>
      <c r="G7" s="22"/>
    </row>
    <row r="8" spans="1:7" ht="26" customHeight="1" x14ac:dyDescent="0.2">
      <c r="A8" s="7" t="str">
        <f>Features!B6</f>
        <v>Ingest WBGT &amp; weather with freshness</v>
      </c>
      <c r="B8" s="4" t="str">
        <f>Features!C6</f>
        <v>Backend (Spring Boot scheduler), NEA data.gov.sg APIs, PostgreSQL</v>
      </c>
      <c r="C8" s="5" t="str">
        <f>IFERROR(_xlfn.XLOOKUP(Features!$A6,'Product Backlog'!$B$3:$B$39,'Product Backlog'!$H$3:$H$39),"—")</f>
        <v>1</v>
      </c>
      <c r="D8" s="23"/>
      <c r="E8" s="23"/>
      <c r="F8" s="23"/>
      <c r="G8" s="23"/>
    </row>
    <row r="9" spans="1:7" ht="26" customHeight="1" x14ac:dyDescent="0.2">
      <c r="A9" s="6" t="str">
        <f>Features!B7</f>
        <v>Lightning warning above WBGT (stop-work)</v>
      </c>
      <c r="B9" s="2" t="str">
        <f>Features!C7</f>
        <v>Backend (Spring Boot), NEA lightning observation API, React + React Native</v>
      </c>
      <c r="C9" s="3" t="str">
        <f>IFERROR(_xlfn.XLOOKUP(Features!$A7,'Product Backlog'!$B$3:$B$39,'Product Backlog'!$H$3:$H$39),"—")</f>
        <v>1</v>
      </c>
      <c r="D9" s="22"/>
      <c r="E9" s="22"/>
      <c r="F9" s="22"/>
      <c r="G9" s="22"/>
    </row>
    <row r="10" spans="1:7" ht="26" customHeight="1" x14ac:dyDescent="0.2">
      <c r="A10" s="7" t="str">
        <f>Features!B8</f>
        <v>View current &amp; forecast risk (live conditions)</v>
      </c>
      <c r="B10" s="4" t="str">
        <f>Features!C8</f>
        <v>Web (React, Chart.js), Server-Sent Events, Backend (Spring Boot)</v>
      </c>
      <c r="C10" s="5" t="str">
        <f>IFERROR(_xlfn.XLOOKUP(Features!$A8,'Product Backlog'!$B$3:$B$39,'Product Backlog'!$H$3:$H$39),"—")</f>
        <v>1</v>
      </c>
      <c r="D10" s="23"/>
      <c r="E10" s="23"/>
      <c r="F10" s="23"/>
      <c r="G10" s="23"/>
    </row>
    <row r="11" spans="1:7" ht="26" customHeight="1" x14ac:dyDescent="0.2">
      <c r="A11" s="6" t="str">
        <f>Features!B21</f>
        <v>[Cross-cutting] Cloud deployment</v>
      </c>
      <c r="B11" s="2" t="str">
        <f>Features!C21</f>
        <v>Terraform with the HashiCorp AWS Provider: CloudFront/S3, ECS Fargate, ALB, ECR, RDS, Cognito, Bedrock, EventBridge Scheduler, Secrets Manager</v>
      </c>
      <c r="C11" s="3" t="str">
        <f>IFERROR(_xlfn.XLOOKUP(Features!$A21,'Product Backlog'!$B$3:$B$39,'Product Backlog'!$H$3:$H$39),"—")</f>
        <v>1</v>
      </c>
      <c r="D11" s="22"/>
      <c r="E11" s="22"/>
      <c r="F11" s="22"/>
      <c r="G11" s="22"/>
    </row>
    <row r="12" spans="1:7" ht="26" customHeight="1" x14ac:dyDescent="0.2">
      <c r="A12" s="7" t="str">
        <f>Features!B22</f>
        <v>[Cross-cutting] DevSecOps pipeline</v>
      </c>
      <c r="B12" s="4" t="str">
        <f>Features!C22</f>
        <v>CI/CD pipeline: automated tests and application, dependency, secret, infrastructure and container scanning; build, test, scan, publish and deploy approved releases</v>
      </c>
      <c r="C12" s="5" t="str">
        <f>IFERROR(_xlfn.XLOOKUP(Features!$A22,'Product Backlog'!$B$3:$B$39,'Product Backlog'!$H$3:$H$39),"—")</f>
        <v>1</v>
      </c>
      <c r="D12" s="23"/>
      <c r="E12" s="23"/>
      <c r="F12" s="23"/>
      <c r="G12" s="23"/>
    </row>
    <row r="13" spans="1:7" ht="26" customHeight="1" x14ac:dyDescent="0.2">
      <c r="A13" s="6" t="str">
        <f>Features!B28</f>
        <v>[Cross-cutting] Observability &amp; health monitoring</v>
      </c>
      <c r="B13" s="2" t="str">
        <f>Features!C28</f>
        <v>Structured JSON logs, correlation IDs, health checks (Spring Boot Actuator), Amazon CloudWatch</v>
      </c>
      <c r="C13" s="3" t="str">
        <f>IFERROR(_xlfn.XLOOKUP(Features!$A28,'Product Backlog'!$B$3:$B$39,'Product Backlog'!$H$3:$H$39),"—")</f>
        <v>1</v>
      </c>
      <c r="D13" s="22"/>
      <c r="E13" s="22"/>
      <c r="F13" s="22"/>
      <c r="G13" s="22"/>
    </row>
    <row r="14" spans="1:7" ht="26" customHeight="1" x14ac:dyDescent="0.2">
      <c r="A14" s="7" t="str">
        <f>Features!B9</f>
        <v>Forecast 30 / 60-minute WBGT</v>
      </c>
      <c r="B14" s="4" t="str">
        <f>Features!C9</f>
        <v>Python ML (pandas, scikit-learn; HistGradientBoostingRegressor primary, Ridge / persistence baselines, XGBoost optional challenger; time-based validation)</v>
      </c>
      <c r="C14" s="5" t="str">
        <f>IFERROR(_xlfn.XLOOKUP(Features!$A9,'Product Backlog'!$B$3:$B$39,'Product Backlog'!$H$3:$H$39),"—")</f>
        <v>2</v>
      </c>
      <c r="D14" s="23"/>
      <c r="E14" s="23"/>
      <c r="F14" s="23"/>
      <c r="G14" s="23"/>
    </row>
    <row r="15" spans="1:7" ht="26" customHeight="1" x14ac:dyDescent="0.2">
      <c r="A15" s="6" t="str">
        <f>Features!B10</f>
        <v>Evaluate deterministic heat policy</v>
      </c>
      <c r="B15" s="2" t="str">
        <f>Features!C10</f>
        <v>Backend (Java 21 rules engine, PostgreSQL policy config)</v>
      </c>
      <c r="C15" s="3" t="str">
        <f>IFERROR(_xlfn.XLOOKUP(Features!$A10,'Product Backlog'!$B$3:$B$39,'Product Backlog'!$H$3:$H$39),"—")</f>
        <v>2</v>
      </c>
      <c r="D15" s="22"/>
      <c r="E15" s="22"/>
      <c r="F15" s="22"/>
      <c r="G15" s="22"/>
    </row>
    <row r="16" spans="1:7" ht="26" customHeight="1" x14ac:dyDescent="0.2">
      <c r="A16" s="7" t="str">
        <f>Features!B11</f>
        <v>Generate explainable agent draft plan</v>
      </c>
      <c r="B16" s="4" t="str">
        <f>Features!C11</f>
        <v>Agentic AI (Python, FastAPI, LangChain / LangGraph, Amazon Bedrock, tool calling, Pydantic schemas)</v>
      </c>
      <c r="C16" s="5" t="str">
        <f>IFERROR(_xlfn.XLOOKUP(Features!$A11,'Product Backlog'!$B$3:$B$39,'Product Backlog'!$H$3:$H$39),"—")</f>
        <v>2</v>
      </c>
      <c r="D16" s="23"/>
      <c r="E16" s="23"/>
      <c r="F16" s="23"/>
      <c r="G16" s="23"/>
    </row>
    <row r="17" spans="1:7" ht="26" customHeight="1" x14ac:dyDescent="0.2">
      <c r="A17" s="6" t="str">
        <f>Features!B12</f>
        <v>Approve / edit / reject plan</v>
      </c>
      <c r="B17" s="2" t="str">
        <f>Features!C12</f>
        <v>Web (React), Backend (Spring Boot)</v>
      </c>
      <c r="C17" s="3" t="str">
        <f>IFERROR(_xlfn.XLOOKUP(Features!$A12,'Product Backlog'!$B$3:$B$39,'Product Backlog'!$H$3:$H$39),"—")</f>
        <v>2</v>
      </c>
      <c r="D17" s="22"/>
      <c r="E17" s="22"/>
      <c r="F17" s="22"/>
      <c r="G17" s="22"/>
    </row>
    <row r="18" spans="1:7" ht="26" customHeight="1" x14ac:dyDescent="0.2">
      <c r="A18" s="7" t="str">
        <f>Features!B13</f>
        <v>Dispatch &amp; acknowledge worker action</v>
      </c>
      <c r="B18" s="4" t="str">
        <f>Features!C13</f>
        <v>Mobile (React Native), Backend (idempotency, PostgreSQL)</v>
      </c>
      <c r="C18" s="5" t="str">
        <f>IFERROR(_xlfn.XLOOKUP(Features!$A13,'Product Backlog'!$B$3:$B$39,'Product Backlog'!$H$3:$H$39),"—")</f>
        <v>2</v>
      </c>
      <c r="D18" s="23"/>
      <c r="E18" s="23"/>
      <c r="F18" s="23"/>
      <c r="G18" s="23"/>
    </row>
    <row r="19" spans="1:7" ht="26" customHeight="1" x14ac:dyDescent="0.2">
      <c r="A19" s="6" t="str">
        <f>Features!B14</f>
        <v>Log rest / hydration &amp; raise safety concern</v>
      </c>
      <c r="B19" s="2" t="str">
        <f>Features!C14</f>
        <v>Mobile (React Native), Backend (Spring Boot)</v>
      </c>
      <c r="C19" s="3" t="str">
        <f>IFERROR(_xlfn.XLOOKUP(Features!$A14,'Product Backlog'!$B$3:$B$39,'Product Backlog'!$H$3:$H$39),"—")</f>
        <v>2</v>
      </c>
      <c r="D19" s="22"/>
      <c r="E19" s="22"/>
      <c r="F19" s="22"/>
      <c r="G19" s="22"/>
    </row>
    <row r="20" spans="1:7" x14ac:dyDescent="0.2">
      <c r="A20" s="7" t="str">
        <f>Features!B15</f>
        <v>Monitor completion (live status board)</v>
      </c>
      <c r="B20" s="4" t="str">
        <f>Features!C15</f>
        <v>Web (React, Chart.js), Server-Sent Events, Backend (Spring Boot)</v>
      </c>
      <c r="C20" s="5" t="str">
        <f>IFERROR(_xlfn.XLOOKUP(Features!$A15,'Product Backlog'!$B$3:$B$39,'Product Backlog'!$H$3:$H$39),"—")</f>
        <v>2</v>
      </c>
      <c r="D20" s="23"/>
      <c r="E20" s="23"/>
      <c r="F20" s="23"/>
      <c r="G20" s="23"/>
    </row>
    <row r="21" spans="1:7" x14ac:dyDescent="0.2">
      <c r="A21" s="6" t="str">
        <f>Features!B24</f>
        <v>Configure &amp; version heat policy</v>
      </c>
      <c r="B21" s="2" t="str">
        <f>Features!C24</f>
        <v>Web (React), Backend (Java 21, Spring Boot, Spring Data JPA), PostgreSQL policy_version tables</v>
      </c>
      <c r="C21" s="3" t="str">
        <f>IFERROR(_xlfn.XLOOKUP(Features!$A24,'Product Backlog'!$B$3:$B$39,'Product Backlog'!$H$3:$H$39),"—")</f>
        <v>2</v>
      </c>
      <c r="D21" s="22"/>
      <c r="E21" s="22"/>
      <c r="F21" s="22"/>
      <c r="G21" s="22"/>
    </row>
    <row r="22" spans="1:7" x14ac:dyDescent="0.2">
      <c r="A22" s="7" t="str">
        <f>Features!B23</f>
        <v>[Cross-cutting] AI observability</v>
      </c>
      <c r="B22" s="4" t="str">
        <f>Features!C23</f>
        <v>LangSmith (agent run tracing, plan-quality evaluation, tool-call monitoring, prompt testing; not the authoritative audit record)</v>
      </c>
      <c r="C22" s="5" t="str">
        <f>IFERROR(_xlfn.XLOOKUP(Features!$A23,'Product Backlog'!$B$3:$B$39,'Product Backlog'!$H$3:$H$39),"—")</f>
        <v>2</v>
      </c>
      <c r="D22" s="23"/>
      <c r="E22" s="23"/>
      <c r="F22" s="23"/>
      <c r="G22" s="23"/>
    </row>
    <row r="23" spans="1:7" x14ac:dyDescent="0.2">
      <c r="A23" s="6" t="str">
        <f>Features!B16</f>
        <v>Compliance &amp; response-time dashboard</v>
      </c>
      <c r="B23" s="2" t="str">
        <f>Features!C16</f>
        <v>Web (React, Chart.js), Backend aggregation</v>
      </c>
      <c r="C23" s="3" t="str">
        <f>IFERROR(_xlfn.XLOOKUP(Features!$A16,'Product Backlog'!$B$3:$B$39,'Product Backlog'!$H$3:$H$39),"—")</f>
        <v>3</v>
      </c>
      <c r="D23" s="22"/>
      <c r="E23" s="22"/>
      <c r="F23" s="22"/>
      <c r="G23" s="22"/>
    </row>
    <row r="24" spans="1:7" x14ac:dyDescent="0.2">
      <c r="A24" s="7" t="str">
        <f>Features!B17</f>
        <v>Model-performance dashboard</v>
      </c>
      <c r="B24" s="4" t="str">
        <f>Features!C17</f>
        <v>Web (Chart.js), Python ML metrics (time-based validation), Backend</v>
      </c>
      <c r="C24" s="5" t="str">
        <f>IFERROR(_xlfn.XLOOKUP(Features!$A17,'Product Backlog'!$B$3:$B$39,'Product Backlog'!$H$3:$H$39),"—")</f>
        <v>3</v>
      </c>
      <c r="D24" s="23"/>
      <c r="E24" s="23"/>
      <c r="F24" s="23"/>
      <c r="G24" s="23"/>
    </row>
    <row r="25" spans="1:7" x14ac:dyDescent="0.2">
      <c r="A25" s="6" t="str">
        <f>Features!B18</f>
        <v>Export audit timeline (CSV / PDF)</v>
      </c>
      <c r="B25" s="2" t="str">
        <f>Features!C18</f>
        <v>Backend (export service), Web, PostgreSQL append-only audit</v>
      </c>
      <c r="C25" s="3" t="str">
        <f>IFERROR(_xlfn.XLOOKUP(Features!$A18,'Product Backlog'!$B$3:$B$39,'Product Backlog'!$H$3:$H$39),"—")</f>
        <v>3</v>
      </c>
      <c r="D25" s="22"/>
      <c r="E25" s="22"/>
      <c r="F25" s="22"/>
      <c r="G25" s="22"/>
    </row>
    <row r="26" spans="1:7" x14ac:dyDescent="0.2">
      <c r="A26" s="7" t="str">
        <f>Features!B19</f>
        <v>Graceful degraded mode</v>
      </c>
      <c r="B26" s="4" t="str">
        <f>Features!C19</f>
        <v>Backend fallback adapters (NEA / ML / LLM)</v>
      </c>
      <c r="C26" s="5" t="str">
        <f>IFERROR(_xlfn.XLOOKUP(Features!$A19,'Product Backlog'!$B$3:$B$39,'Product Backlog'!$H$3:$H$39),"—")</f>
        <v>3</v>
      </c>
      <c r="D26" s="23"/>
      <c r="E26" s="23"/>
      <c r="F26" s="23"/>
      <c r="G26" s="23"/>
    </row>
    <row r="27" spans="1:7" ht="30" x14ac:dyDescent="0.2">
      <c r="A27" s="6" t="str">
        <f>Features!B25</f>
        <v>Agent guardrail verification (STPA, allowlist, approval gate)</v>
      </c>
      <c r="B27" s="2" t="str">
        <f>Features!C25</f>
        <v>Agentic AI (LangGraph guardrails, Pydantic schemas), Backend validation (Java 21), automated test harness</v>
      </c>
      <c r="C27" s="3" t="str">
        <f>IFERROR(_xlfn.XLOOKUP(Features!$A25,'Product Backlog'!$B$3:$B$39,'Product Backlog'!$H$3:$H$39),"—")</f>
        <v>3</v>
      </c>
      <c r="D27" s="22"/>
      <c r="E27" s="22"/>
      <c r="F27" s="22"/>
      <c r="G27" s="22"/>
    </row>
    <row r="28" spans="1:7" ht="30" x14ac:dyDescent="0.2">
      <c r="A28" s="7" t="str">
        <f>Features!B26</f>
        <v>Readiness-check freshness &amp; missing-check indicators</v>
      </c>
      <c r="B28" s="4" t="str">
        <f>Features!C26</f>
        <v>Mobile (React Native) + Web (React), Backend (Spring Boot), PostgreSQL</v>
      </c>
      <c r="C28" s="5" t="str">
        <f>IFERROR(_xlfn.XLOOKUP(Features!$A26,'Product Backlog'!$B$3:$B$39,'Product Backlog'!$H$3:$H$39),"—")</f>
        <v>3</v>
      </c>
      <c r="D28" s="23"/>
      <c r="E28" s="23"/>
      <c r="F28" s="23"/>
      <c r="G28" s="23"/>
    </row>
    <row r="29" spans="1:7" x14ac:dyDescent="0.2">
      <c r="A29" s="6" t="str">
        <f>Features!B27</f>
        <v>ML model card (SHAP explainability &amp; reliability)</v>
      </c>
      <c r="B29" s="2" t="str">
        <f>Features!C27</f>
        <v>Python ML (scikit-learn, SHAP), model-card documentation, time-based validation metrics</v>
      </c>
      <c r="C29" s="3" t="str">
        <f>IFERROR(_xlfn.XLOOKUP(Features!$A27,'Product Backlog'!$B$3:$B$39,'Product Backlog'!$H$3:$H$39),"—")</f>
        <v>3</v>
      </c>
      <c r="D29" s="22"/>
      <c r="E29" s="22"/>
      <c r="F29" s="22"/>
      <c r="G29" s="22"/>
    </row>
    <row r="30" spans="1:7" ht="30" x14ac:dyDescent="0.2">
      <c r="A30" s="7" t="str">
        <f>Features!B29</f>
        <v>[Cross-cutting] Security testing &amp; remediation evidence</v>
      </c>
      <c r="B30" s="4" t="str">
        <f>Features!C29</f>
        <v>OWASP-style tests (authz, injection, XSS, prompt injection, audit tamper); CI/CD dependency, secret, infrastructure and container scanning</v>
      </c>
      <c r="C30" s="5" t="str">
        <f>IFERROR(_xlfn.XLOOKUP(Features!$A29,'Product Backlog'!$B$3:$B$39,'Product Backlog'!$H$3:$H$39),"—")</f>
        <v>3</v>
      </c>
      <c r="D30" s="23"/>
      <c r="E30" s="23"/>
      <c r="F30" s="23"/>
      <c r="G30" s="23"/>
    </row>
    <row r="31" spans="1:7" x14ac:dyDescent="0.2">
      <c r="A31" s="6" t="str">
        <f>Features!B30</f>
        <v>[Cross-cutting] Accessibility &amp; performance</v>
      </c>
      <c r="B31" s="2" t="str">
        <f>Features!C30</f>
        <v>Web (React) + Mobile (React Native), axe / Lighthouse, load testing (WCAG 2.1 AA basics; p95 latency)</v>
      </c>
      <c r="C31" s="3" t="str">
        <f>IFERROR(_xlfn.XLOOKUP(Features!$A30,'Product Backlog'!$B$3:$B$39,'Product Backlog'!$H$3:$H$39),"—")</f>
        <v>3</v>
      </c>
      <c r="D31" s="22"/>
      <c r="E31" s="22"/>
      <c r="F31" s="22"/>
      <c r="G31" s="22"/>
    </row>
    <row r="32" spans="1:7" x14ac:dyDescent="0.2">
      <c r="A32" s="7" t="str">
        <f>Features!B31</f>
        <v>Admin: users, roles, sites &amp; integrations</v>
      </c>
      <c r="B32" s="4" t="str">
        <f>Features!C31</f>
        <v>Web (React), Amazon Cognito, Spring Security, Backend (Spring Boot), PostgreSQL</v>
      </c>
      <c r="C32" s="5" t="str">
        <f>IFERROR(_xlfn.XLOOKUP(Features!$A31,'Product Backlog'!$B$3:$B$39,'Product Backlog'!$H$3:$H$39),"—")</f>
        <v>3</v>
      </c>
      <c r="D32" s="23"/>
      <c r="E32" s="23"/>
      <c r="F32" s="23"/>
      <c r="G32" s="23"/>
    </row>
    <row r="33" spans="1:7" x14ac:dyDescent="0.2">
      <c r="A33" s="6" t="str">
        <f>Features!B20</f>
        <v>[Stretch] Multilingual instruction template</v>
      </c>
      <c r="B33" s="2" t="str">
        <f>Features!C20</f>
        <v>Agentic AI (human-approved template via LangChain on Amazon Bedrock), Mobile</v>
      </c>
      <c r="C33" s="3" t="str">
        <f>IFERROR(_xlfn.XLOOKUP(Features!$A20,'Product Backlog'!$B$3:$B$39,'Product Backlog'!$H$3:$H$39),"—")</f>
        <v>Stretch</v>
      </c>
      <c r="D33" s="22"/>
      <c r="E33" s="22"/>
      <c r="F33" s="22"/>
      <c r="G33" s="22"/>
    </row>
    <row r="34" spans="1:7" x14ac:dyDescent="0.2">
      <c r="A34" s="7" t="str">
        <f>Features!B34</f>
        <v>[Stretch] QR rest-zone check-in</v>
      </c>
      <c r="B34" s="4" t="str">
        <f>Features!C34</f>
        <v>Mobile (React Native, Expo Camera), Backend (Spring Boot), PostgreSQL append-only audit</v>
      </c>
      <c r="C34" s="5" t="str">
        <f>IFERROR(_xlfn.XLOOKUP(Features!$A34,'Product Backlog'!$B$3:$B$39,'Product Backlog'!$H$3:$H$39),"—")</f>
        <v>Stretch</v>
      </c>
      <c r="D34" s="23"/>
      <c r="E34" s="23"/>
      <c r="F34" s="23"/>
      <c r="G34" s="23"/>
    </row>
    <row r="35" spans="1:7" x14ac:dyDescent="0.2">
      <c r="A35" s="6" t="str">
        <f>Features!B35</f>
        <v>[Stretch] Multi-site management view</v>
      </c>
      <c r="B35" s="2" t="str">
        <f>Features!C35</f>
        <v>Web (React, Chart.js), Backend (Spring Boot), site-scoped RBAC</v>
      </c>
      <c r="C35" s="3" t="str">
        <f>IFERROR(_xlfn.XLOOKUP(Features!$A35,'Product Backlog'!$B$3:$B$39,'Product Backlog'!$H$3:$H$39),"—")</f>
        <v>Stretch</v>
      </c>
      <c r="D35" s="22"/>
      <c r="E35" s="22"/>
      <c r="F35" s="22"/>
      <c r="G35" s="22"/>
    </row>
    <row r="36" spans="1:7" ht="30" x14ac:dyDescent="0.2">
      <c r="A36" s="7" t="str">
        <f>Features!B36</f>
        <v>[Stretch] Supervisor-entered local WBGT reading</v>
      </c>
      <c r="B36" s="4" t="str">
        <f>Features!C36</f>
        <v>Web (React) + Mobile (React Native), Backend (Spring Boot), PostgreSQL with source &amp; timestamp</v>
      </c>
      <c r="C36" s="5" t="str">
        <f>IFERROR(_xlfn.XLOOKUP(Features!$A36,'Product Backlog'!$B$3:$B$39,'Product Backlog'!$H$3:$H$39),"—")</f>
        <v>Stretch</v>
      </c>
      <c r="D36" s="23"/>
      <c r="E36" s="23"/>
      <c r="F36" s="23"/>
      <c r="G36" s="23"/>
    </row>
    <row r="37" spans="1:7" x14ac:dyDescent="0.2">
      <c r="A37" s="6" t="str">
        <f>Features!B37</f>
        <v>[Stretch] Push notifications</v>
      </c>
      <c r="B37" s="2" t="str">
        <f>Features!C37</f>
        <v>Mobile (React Native, Expo + Firebase Cloud Messaging), Backend (Spring Boot)</v>
      </c>
      <c r="C37" s="3" t="str">
        <f>IFERROR(_xlfn.XLOOKUP(Features!$A37,'Product Backlog'!$B$3:$B$39,'Product Backlog'!$H$3:$H$39),"—")</f>
        <v>Stretch</v>
      </c>
      <c r="D37" s="22"/>
      <c r="E37" s="22"/>
      <c r="F37" s="22"/>
      <c r="G37" s="22"/>
    </row>
  </sheetData>
  <mergeCells count="1">
    <mergeCell ref="A1:G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94b8bac-6b8a-4d6f-b3ea-d6cd0bd31481">
      <Terms xmlns="http://schemas.microsoft.com/office/infopath/2007/PartnerControls"/>
    </lcf76f155ced4ddcb4097134ff3c332f>
    <TaxCatchAll xmlns="30907331-fa7b-47a4-a8c3-1873a8c34a4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DA5AE9AC2441B63A103C5980A3EE" ma:contentTypeVersion="11" ma:contentTypeDescription="Create a new document." ma:contentTypeScope="" ma:versionID="c8b6d4dcaeb6c498f5907edd7eea2fd0">
  <xsd:schema xmlns:xsd="http://www.w3.org/2001/XMLSchema" xmlns:xs="http://www.w3.org/2001/XMLSchema" xmlns:p="http://schemas.microsoft.com/office/2006/metadata/properties" xmlns:ns2="594b8bac-6b8a-4d6f-b3ea-d6cd0bd31481" xmlns:ns3="30907331-fa7b-47a4-a8c3-1873a8c34a49" targetNamespace="http://schemas.microsoft.com/office/2006/metadata/properties" ma:root="true" ma:fieldsID="253aa9b972eb4e8c7181f90efd80dc00" ns2:_="" ns3:_="">
    <xsd:import namespace="594b8bac-6b8a-4d6f-b3ea-d6cd0bd31481"/>
    <xsd:import namespace="30907331-fa7b-47a4-a8c3-1873a8c34a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4b8bac-6b8a-4d6f-b3ea-d6cd0bd314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907331-fa7b-47a4-a8c3-1873a8c34a4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a2cdde5-8a5e-4d21-b532-028244fd8e29}" ma:internalName="TaxCatchAll" ma:showField="CatchAllData" ma:web="30907331-fa7b-47a4-a8c3-1873a8c34a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DE8667-D1B3-45A1-B786-81CC16FAD3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1D3F6E-DA85-4948-96E3-73F185F459C9}">
  <ds:schemaRefs>
    <ds:schemaRef ds:uri="http://www.w3.org/XML/1998/namespace"/>
    <ds:schemaRef ds:uri="http://purl.org/dc/terms/"/>
    <ds:schemaRef ds:uri="594b8bac-6b8a-4d6f-b3ea-d6cd0bd31481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30907331-fa7b-47a4-a8c3-1873a8c34a49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8CD2869-3421-4C53-97F4-02CA384795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4b8bac-6b8a-4d6f-b3ea-d6cd0bd31481"/>
    <ds:schemaRef ds:uri="30907331-fa7b-47a4-a8c3-1873a8c34a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Backlog</vt:lpstr>
      <vt:lpstr>Features</vt:lpstr>
      <vt:lpstr>Business Process</vt:lpstr>
      <vt:lpstr>Technologies</vt:lpstr>
      <vt:lpstr>Project Status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Zhong Cheng Tiong</cp:lastModifiedBy>
  <cp:revision/>
  <dcterms:created xsi:type="dcterms:W3CDTF">2026-07-25T10:20:42Z</dcterms:created>
  <dcterms:modified xsi:type="dcterms:W3CDTF">2026-07-26T02:32:18Z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0x0101005F56DA5AE9AC2441B63A103C5980A3EE</vt:lpwstr>
  </property>
  <property fmtid="{D5CDD505-2E9C-101B-9397-08002B2CF9AE}" pid="3" name="MediaServiceImageTags">
    <vt:lpwstr/>
  </property>
</Properties>
</file>